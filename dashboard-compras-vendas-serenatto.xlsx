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13_ncr:1_{1AA98918-4331-43ED-AD00-A9EA6B98DF8D}" xr6:coauthVersionLast="47" xr6:coauthVersionMax="47" xr10:uidLastSave="{00000000-0000-0000-0000-000000000000}"/>
  <workbookProtection workbookAlgorithmName="SHA-512" workbookHashValue="XRHjx0MCaM2Z+aKsFwzWChBK3GCOxqcq8Wbz+ybA/Nqv39S1VWbOwkjiWk4RJWENJTeYJdON2cRcMOYfeHMCpA==" workbookSaltValue="u7+GxLAT/H2291kANm+Ltw==" workbookSpinCount="100000" lockStructure="1"/>
  <bookViews>
    <workbookView xWindow="-108" yWindow="-108" windowWidth="23256" windowHeight="12456" tabRatio="781" activeTab="9" xr2:uid="{87BE7180-3E81-4FE5-B433-FFDBA552102C}"/>
  </bookViews>
  <sheets>
    <sheet name="Produtos" sheetId="2" r:id="rId1"/>
    <sheet name="Fornecedor" sheetId="3" r:id="rId2"/>
    <sheet name="Entradas" sheetId="4" r:id="rId3"/>
    <sheet name="Saídas" sheetId="5" r:id="rId4"/>
    <sheet name="Consulta" sheetId="6" state="hidden" r:id="rId5"/>
    <sheet name="Controle de Estoque" sheetId="7" state="hidden" r:id="rId6"/>
    <sheet name="Quadro de Resumo" sheetId="8" state="hidden" r:id="rId7"/>
    <sheet name="Top 5 Mais vendidos" sheetId="32" state="hidden" r:id="rId8"/>
    <sheet name="Base de cálculo" sheetId="33" state="hidden" r:id="rId9"/>
    <sheet name="Dashboard" sheetId="31" r:id="rId10"/>
  </sheets>
  <definedNames>
    <definedName name="_xlnm._FilterDatabase" localSheetId="7" hidden="1">'Top 5 Mais vendidos'!$E$1:$F$57</definedName>
    <definedName name="CriteriosConsultaProduto">'Quadro de Resumo'!$AM$7:$AM$8</definedName>
    <definedName name="Lista_Produtos" localSheetId="9">TB_Produtos[[#All],[Produto]]</definedName>
    <definedName name="Lista_Produtos">TB_Produtos[[#All],[Produto]]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6" l="1"/>
  <c r="Q3" i="33"/>
  <c r="Q2" i="33"/>
  <c r="K2" i="33"/>
  <c r="I4" i="33"/>
  <c r="I5" i="33"/>
  <c r="I6" i="33"/>
  <c r="I7" i="33"/>
  <c r="I8" i="33"/>
  <c r="I9" i="33"/>
  <c r="I10" i="33"/>
  <c r="I11" i="33"/>
  <c r="I12" i="33"/>
  <c r="I13" i="33"/>
  <c r="I14" i="33"/>
  <c r="I3" i="33"/>
  <c r="H4" i="33"/>
  <c r="H5" i="33"/>
  <c r="H6" i="33"/>
  <c r="H7" i="33"/>
  <c r="H8" i="33"/>
  <c r="H9" i="33"/>
  <c r="H10" i="33"/>
  <c r="H11" i="33"/>
  <c r="H12" i="33"/>
  <c r="H13" i="33"/>
  <c r="H14" i="33"/>
  <c r="H3" i="33"/>
  <c r="B6" i="5"/>
  <c r="G4" i="33"/>
  <c r="G5" i="33"/>
  <c r="G6" i="33"/>
  <c r="G7" i="33"/>
  <c r="G8" i="33"/>
  <c r="G9" i="33"/>
  <c r="G10" i="33"/>
  <c r="G11" i="33"/>
  <c r="G12" i="33"/>
  <c r="G13" i="33"/>
  <c r="G14" i="33"/>
  <c r="G3" i="33"/>
  <c r="E1" i="32" a="1"/>
  <c r="E1" i="32" s="1"/>
  <c r="F4" i="32"/>
  <c r="F5" i="32"/>
  <c r="F6" i="32"/>
  <c r="F7" i="32"/>
  <c r="F8" i="32"/>
  <c r="F9" i="32"/>
  <c r="F10" i="32"/>
  <c r="F12" i="32"/>
  <c r="F13" i="32"/>
  <c r="F15" i="32"/>
  <c r="F20" i="32"/>
  <c r="F22" i="32"/>
  <c r="F23" i="32"/>
  <c r="F24" i="32"/>
  <c r="F25" i="32"/>
  <c r="F27" i="32"/>
  <c r="F2" i="32"/>
  <c r="B1" i="32"/>
  <c r="B2" i="32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A1" i="32" a="1"/>
  <c r="A1" i="32" s="1"/>
  <c r="AX4" i="31"/>
  <c r="C8" i="7"/>
  <c r="D8" i="7"/>
  <c r="F8" i="7"/>
  <c r="B13" i="4"/>
  <c r="G13" i="4" a="1"/>
  <c r="G13" i="4" s="1"/>
  <c r="H13" i="4" s="1"/>
  <c r="B60" i="5"/>
  <c r="F60" i="5" a="1"/>
  <c r="F60" i="5" s="1"/>
  <c r="G60" i="5" s="1"/>
  <c r="B18" i="4"/>
  <c r="G18" i="4" a="1"/>
  <c r="G18" i="4" s="1"/>
  <c r="H18" i="4" s="1"/>
  <c r="I8" i="7" s="1"/>
  <c r="B59" i="5"/>
  <c r="F59" i="5" a="1"/>
  <c r="F59" i="5" s="1"/>
  <c r="G59" i="5" s="1"/>
  <c r="B56" i="5"/>
  <c r="F56" i="5" a="1"/>
  <c r="F56" i="5" s="1"/>
  <c r="G56" i="5" s="1"/>
  <c r="B51" i="5"/>
  <c r="F51" i="5" a="1"/>
  <c r="F51" i="5" s="1"/>
  <c r="G51" i="5" s="1"/>
  <c r="B47" i="5"/>
  <c r="F47" i="5" a="1"/>
  <c r="F47" i="5" s="1"/>
  <c r="G47" i="5" s="1"/>
  <c r="B37" i="5"/>
  <c r="F37" i="5" a="1"/>
  <c r="F37" i="5" s="1"/>
  <c r="G37" i="5" s="1"/>
  <c r="B31" i="5"/>
  <c r="F31" i="5" a="1"/>
  <c r="F31" i="5" s="1"/>
  <c r="G31" i="5" s="1"/>
  <c r="B22" i="5"/>
  <c r="F22" i="5" a="1"/>
  <c r="F22" i="5" s="1"/>
  <c r="G22" i="5" s="1"/>
  <c r="B56" i="4"/>
  <c r="G56" i="4" a="1"/>
  <c r="G56" i="4" s="1"/>
  <c r="H56" i="4" s="1"/>
  <c r="B50" i="4"/>
  <c r="G50" i="4" a="1"/>
  <c r="G50" i="4" s="1"/>
  <c r="H50" i="4" s="1"/>
  <c r="B46" i="4"/>
  <c r="G46" i="4" a="1"/>
  <c r="G46" i="4" s="1"/>
  <c r="H46" i="4" s="1"/>
  <c r="B32" i="4"/>
  <c r="G32" i="4" a="1"/>
  <c r="G32" i="4" s="1"/>
  <c r="H32" i="4" s="1"/>
  <c r="B15" i="5"/>
  <c r="F15" i="5" a="1"/>
  <c r="F15" i="5" s="1"/>
  <c r="G15" i="5" s="1"/>
  <c r="B8" i="5"/>
  <c r="F8" i="5" a="1"/>
  <c r="F8" i="5" s="1"/>
  <c r="G8" i="5" s="1"/>
  <c r="B9" i="4"/>
  <c r="G9" i="4" a="1"/>
  <c r="G9" i="4" s="1"/>
  <c r="H9" i="4" s="1"/>
  <c r="B49" i="5"/>
  <c r="F49" i="5" a="1"/>
  <c r="F49" i="5" s="1"/>
  <c r="G49" i="5" s="1"/>
  <c r="B49" i="4"/>
  <c r="G49" i="4" a="1"/>
  <c r="G49" i="4" s="1"/>
  <c r="H49" i="4" s="1"/>
  <c r="B45" i="5"/>
  <c r="F45" i="5" a="1"/>
  <c r="F45" i="5" s="1"/>
  <c r="G45" i="5" s="1"/>
  <c r="B44" i="4"/>
  <c r="G44" i="4" a="1"/>
  <c r="G44" i="4" s="1"/>
  <c r="H44" i="4" s="1"/>
  <c r="B39" i="5"/>
  <c r="F39" i="5" a="1"/>
  <c r="F39" i="5" s="1"/>
  <c r="G39" i="5" s="1"/>
  <c r="B38" i="4"/>
  <c r="G38" i="4" a="1"/>
  <c r="G38" i="4" s="1"/>
  <c r="H38" i="4" s="1"/>
  <c r="B36" i="5"/>
  <c r="F36" i="5" a="1"/>
  <c r="F36" i="5" s="1"/>
  <c r="G36" i="5" s="1"/>
  <c r="B36" i="4"/>
  <c r="G36" i="4" a="1"/>
  <c r="G36" i="4" s="1"/>
  <c r="H36" i="4" s="1"/>
  <c r="B27" i="5"/>
  <c r="F27" i="5" a="1"/>
  <c r="F27" i="5" s="1"/>
  <c r="G27" i="5" s="1"/>
  <c r="B29" i="4"/>
  <c r="G29" i="4" a="1"/>
  <c r="G29" i="4" s="1"/>
  <c r="H29" i="4" s="1"/>
  <c r="B23" i="5"/>
  <c r="F23" i="5" a="1"/>
  <c r="F23" i="5" s="1"/>
  <c r="G23" i="5" s="1"/>
  <c r="B23" i="4"/>
  <c r="G23" i="4" a="1"/>
  <c r="G23" i="4" s="1"/>
  <c r="H23" i="4" s="1"/>
  <c r="B16" i="5"/>
  <c r="F16" i="5" a="1"/>
  <c r="F16" i="5" s="1"/>
  <c r="G16" i="5" s="1"/>
  <c r="B19" i="4"/>
  <c r="G19" i="4" a="1"/>
  <c r="G19" i="4" s="1"/>
  <c r="H19" i="4" s="1"/>
  <c r="B12" i="5"/>
  <c r="F12" i="5" a="1"/>
  <c r="F12" i="5" s="1"/>
  <c r="G12" i="5" s="1"/>
  <c r="B9" i="5"/>
  <c r="F9" i="5" a="1"/>
  <c r="F9" i="5" s="1"/>
  <c r="G9" i="5" s="1"/>
  <c r="B8" i="4"/>
  <c r="G8" i="4" a="1"/>
  <c r="G8" i="4" s="1"/>
  <c r="H8" i="4" s="1"/>
  <c r="B52" i="5"/>
  <c r="F52" i="5" a="1"/>
  <c r="F52" i="5" s="1"/>
  <c r="G52" i="5" s="1"/>
  <c r="B52" i="4"/>
  <c r="G52" i="4" a="1"/>
  <c r="G52" i="4" s="1"/>
  <c r="H52" i="4" s="1"/>
  <c r="B48" i="5"/>
  <c r="F48" i="5" a="1"/>
  <c r="F48" i="5" s="1"/>
  <c r="G48" i="5" s="1"/>
  <c r="B38" i="5"/>
  <c r="F38" i="5" a="1"/>
  <c r="F38" i="5" s="1"/>
  <c r="G38" i="5" s="1"/>
  <c r="B35" i="5"/>
  <c r="F35" i="5" a="1"/>
  <c r="F35" i="5" s="1"/>
  <c r="G35" i="5" s="1"/>
  <c r="B32" i="5"/>
  <c r="F32" i="5" a="1"/>
  <c r="F32" i="5" s="1"/>
  <c r="G32" i="5" s="1"/>
  <c r="B28" i="5"/>
  <c r="F28" i="5" a="1"/>
  <c r="F28" i="5" s="1"/>
  <c r="G28" i="5" s="1"/>
  <c r="B17" i="5"/>
  <c r="F17" i="5" a="1"/>
  <c r="F17" i="5" s="1"/>
  <c r="G17" i="5" s="1"/>
  <c r="B13" i="5"/>
  <c r="F13" i="5" a="1"/>
  <c r="F13" i="5" s="1"/>
  <c r="G13" i="5" s="1"/>
  <c r="B57" i="4"/>
  <c r="G57" i="4" a="1"/>
  <c r="G57" i="4" s="1"/>
  <c r="H57" i="4" s="1"/>
  <c r="B47" i="4"/>
  <c r="G47" i="4" a="1"/>
  <c r="G47" i="4" s="1"/>
  <c r="H47" i="4" s="1"/>
  <c r="B41" i="4"/>
  <c r="G41" i="4" a="1"/>
  <c r="G41" i="4" s="1"/>
  <c r="H41" i="4" s="1"/>
  <c r="B37" i="4"/>
  <c r="G37" i="4" a="1"/>
  <c r="G37" i="4" s="1"/>
  <c r="H37" i="4" s="1"/>
  <c r="B33" i="4"/>
  <c r="G33" i="4" a="1"/>
  <c r="G33" i="4" s="1"/>
  <c r="H33" i="4" s="1"/>
  <c r="B24" i="4"/>
  <c r="G24" i="4" a="1"/>
  <c r="G24" i="4" s="1"/>
  <c r="H24" i="4" s="1"/>
  <c r="B20" i="4"/>
  <c r="G20" i="4" a="1"/>
  <c r="G20" i="4" s="1"/>
  <c r="H20" i="4" s="1"/>
  <c r="B14" i="4"/>
  <c r="G14" i="4" a="1"/>
  <c r="G14" i="4" s="1"/>
  <c r="H14" i="4" s="1"/>
  <c r="B26" i="4"/>
  <c r="G26" i="4" a="1"/>
  <c r="G26" i="4" s="1"/>
  <c r="H26" i="4" s="1"/>
  <c r="C12" i="7"/>
  <c r="D11" i="7"/>
  <c r="C11" i="7"/>
  <c r="D10" i="7"/>
  <c r="C10" i="7"/>
  <c r="C7" i="7"/>
  <c r="D6" i="7"/>
  <c r="C6" i="7"/>
  <c r="B54" i="4"/>
  <c r="G54" i="4" a="1"/>
  <c r="G54" i="4" s="1"/>
  <c r="H54" i="4" s="1"/>
  <c r="N6" i="33" l="1"/>
  <c r="N8" i="33"/>
  <c r="N9" i="33"/>
  <c r="N10" i="33"/>
  <c r="N4" i="33"/>
  <c r="N12" i="33"/>
  <c r="N5" i="33"/>
  <c r="N7" i="33"/>
  <c r="N13" i="33"/>
  <c r="N11" i="33"/>
  <c r="M3" i="33"/>
  <c r="M14" i="33"/>
  <c r="M13" i="33"/>
  <c r="M12" i="33"/>
  <c r="M11" i="33"/>
  <c r="M10" i="33"/>
  <c r="M9" i="33"/>
  <c r="M8" i="33"/>
  <c r="M7" i="33"/>
  <c r="M6" i="33"/>
  <c r="M5" i="33"/>
  <c r="M4" i="33"/>
  <c r="N3" i="33"/>
  <c r="N14" i="33"/>
  <c r="C3" i="33"/>
  <c r="B3" i="33" s="1"/>
  <c r="D3" i="33" s="1"/>
  <c r="C4" i="33"/>
  <c r="B4" i="33" s="1"/>
  <c r="D4" i="33" s="1"/>
  <c r="C5" i="33"/>
  <c r="B5" i="33" s="1"/>
  <c r="D5" i="33" s="1"/>
  <c r="C6" i="33"/>
  <c r="B6" i="33" s="1"/>
  <c r="D6" i="33" s="1"/>
  <c r="C2" i="33"/>
  <c r="B2" i="33" s="1"/>
  <c r="D2" i="33" s="1"/>
  <c r="E8" i="7"/>
  <c r="G8" i="7" s="1" a="1"/>
  <c r="G8" i="7" s="1"/>
  <c r="E6" i="7"/>
  <c r="E10" i="7"/>
  <c r="E11" i="7"/>
  <c r="B30" i="5"/>
  <c r="F30" i="5" a="1"/>
  <c r="F30" i="5" s="1"/>
  <c r="G30" i="5" s="1"/>
  <c r="B62" i="5"/>
  <c r="F62" i="5" a="1"/>
  <c r="F62" i="5" s="1"/>
  <c r="G62" i="5" s="1"/>
  <c r="B42" i="5"/>
  <c r="F42" i="5" a="1"/>
  <c r="F42" i="5" s="1"/>
  <c r="G42" i="5" s="1"/>
  <c r="B59" i="4"/>
  <c r="G59" i="4" a="1"/>
  <c r="G59" i="4" s="1"/>
  <c r="H59" i="4" s="1"/>
  <c r="B58" i="4"/>
  <c r="G58" i="4" a="1"/>
  <c r="G58" i="4" s="1"/>
  <c r="H58" i="4" s="1"/>
  <c r="B7" i="4" l="1"/>
  <c r="B10" i="4"/>
  <c r="B11" i="4"/>
  <c r="B12" i="4"/>
  <c r="B15" i="4"/>
  <c r="B16" i="4"/>
  <c r="B17" i="4"/>
  <c r="B21" i="4"/>
  <c r="B22" i="4"/>
  <c r="B25" i="4"/>
  <c r="B27" i="4"/>
  <c r="B28" i="4"/>
  <c r="B30" i="4"/>
  <c r="B31" i="4"/>
  <c r="B34" i="4"/>
  <c r="B35" i="4"/>
  <c r="B39" i="4"/>
  <c r="B40" i="4"/>
  <c r="B42" i="4"/>
  <c r="B43" i="4"/>
  <c r="B45" i="4"/>
  <c r="B48" i="4"/>
  <c r="B51" i="4"/>
  <c r="B53" i="4"/>
  <c r="B55" i="4"/>
  <c r="B6" i="4"/>
  <c r="B7" i="5" l="1"/>
  <c r="B10" i="5"/>
  <c r="B11" i="5"/>
  <c r="B14" i="5"/>
  <c r="B18" i="5"/>
  <c r="B19" i="5"/>
  <c r="B20" i="5"/>
  <c r="B21" i="5"/>
  <c r="B24" i="5"/>
  <c r="B25" i="5"/>
  <c r="B26" i="5"/>
  <c r="B29" i="5"/>
  <c r="B33" i="5"/>
  <c r="B34" i="5"/>
  <c r="B40" i="5"/>
  <c r="B41" i="5"/>
  <c r="B43" i="5"/>
  <c r="B44" i="5"/>
  <c r="B46" i="5"/>
  <c r="B50" i="5"/>
  <c r="B53" i="5"/>
  <c r="B54" i="5"/>
  <c r="B55" i="5"/>
  <c r="B57" i="5"/>
  <c r="B58" i="5"/>
  <c r="B61" i="5"/>
  <c r="N8" i="8" l="1"/>
  <c r="F6" i="5" a="1"/>
  <c r="F6" i="5" s="1"/>
  <c r="F11" i="5" l="1" a="1"/>
  <c r="F11" i="5" s="1"/>
  <c r="F7" i="5" a="1"/>
  <c r="F7" i="5" s="1"/>
  <c r="F10" i="5" a="1"/>
  <c r="F10" i="5" s="1"/>
  <c r="F14" i="5" a="1"/>
  <c r="F14" i="5" s="1"/>
  <c r="F18" i="5" a="1"/>
  <c r="F18" i="5" s="1"/>
  <c r="F19" i="5" a="1"/>
  <c r="F19" i="5" s="1"/>
  <c r="F20" i="5" a="1"/>
  <c r="F20" i="5" s="1"/>
  <c r="F21" i="5" a="1"/>
  <c r="F21" i="5" s="1"/>
  <c r="F24" i="5" a="1"/>
  <c r="F24" i="5" s="1"/>
  <c r="F25" i="5" a="1"/>
  <c r="F25" i="5" s="1"/>
  <c r="F26" i="5" a="1"/>
  <c r="F26" i="5" s="1"/>
  <c r="F29" i="5" a="1"/>
  <c r="F29" i="5" s="1"/>
  <c r="F33" i="5" a="1"/>
  <c r="F33" i="5" s="1"/>
  <c r="F34" i="5" a="1"/>
  <c r="F34" i="5" s="1"/>
  <c r="F40" i="5" a="1"/>
  <c r="F40" i="5" s="1"/>
  <c r="F41" i="5" a="1"/>
  <c r="F41" i="5" s="1"/>
  <c r="F43" i="5" a="1"/>
  <c r="F43" i="5" s="1"/>
  <c r="F44" i="5" a="1"/>
  <c r="F44" i="5" s="1"/>
  <c r="F46" i="5" a="1"/>
  <c r="F46" i="5" s="1"/>
  <c r="F50" i="5" a="1"/>
  <c r="F50" i="5" s="1"/>
  <c r="F53" i="5" a="1"/>
  <c r="F53" i="5" s="1"/>
  <c r="F54" i="5" a="1"/>
  <c r="F54" i="5" s="1"/>
  <c r="F55" i="5" a="1"/>
  <c r="F55" i="5" s="1"/>
  <c r="F57" i="5" a="1"/>
  <c r="F57" i="5" s="1"/>
  <c r="F58" i="5" a="1"/>
  <c r="F58" i="5" s="1"/>
  <c r="F61" i="5" a="1"/>
  <c r="F61" i="5" s="1"/>
  <c r="F6" i="7"/>
  <c r="F7" i="7"/>
  <c r="F9" i="7"/>
  <c r="F10" i="7"/>
  <c r="F11" i="7"/>
  <c r="F12" i="7"/>
  <c r="F13" i="7"/>
  <c r="F14" i="7"/>
  <c r="F15" i="7"/>
  <c r="D7" i="7"/>
  <c r="D9" i="7"/>
  <c r="D12" i="7"/>
  <c r="D13" i="7"/>
  <c r="D14" i="7"/>
  <c r="D15" i="7"/>
  <c r="C9" i="7"/>
  <c r="C13" i="7"/>
  <c r="C14" i="7"/>
  <c r="C15" i="7"/>
  <c r="E9" i="7" l="1"/>
  <c r="G9" i="7" s="1" a="1"/>
  <c r="G9" i="7" s="1"/>
  <c r="E12" i="7"/>
  <c r="G12" i="7" s="1" a="1"/>
  <c r="G12" i="7" s="1"/>
  <c r="G11" i="7" a="1"/>
  <c r="G11" i="7" s="1"/>
  <c r="G10" i="7" a="1"/>
  <c r="G10" i="7" s="1"/>
  <c r="E15" i="7"/>
  <c r="G15" i="7" s="1" a="1"/>
  <c r="G15" i="7" s="1"/>
  <c r="E7" i="7"/>
  <c r="G7" i="7" s="1" a="1"/>
  <c r="G7" i="7" s="1"/>
  <c r="E14" i="7"/>
  <c r="G14" i="7" s="1" a="1"/>
  <c r="G14" i="7" s="1"/>
  <c r="E13" i="7"/>
  <c r="G13" i="7" s="1" a="1"/>
  <c r="G13" i="7" s="1"/>
  <c r="G6" i="7" a="1"/>
  <c r="G6" i="7" s="1"/>
  <c r="F6" i="6"/>
  <c r="F8" i="6"/>
  <c r="AM11" i="8" l="1"/>
  <c r="N11" i="8"/>
  <c r="G6" i="5"/>
  <c r="G7" i="5"/>
  <c r="G10" i="5"/>
  <c r="G11" i="5"/>
  <c r="G14" i="5"/>
  <c r="G18" i="5"/>
  <c r="G19" i="5"/>
  <c r="G20" i="5"/>
  <c r="G21" i="5"/>
  <c r="F21" i="32" s="1"/>
  <c r="G24" i="5"/>
  <c r="G25" i="5"/>
  <c r="F18" i="32" s="1"/>
  <c r="G26" i="5"/>
  <c r="G29" i="5"/>
  <c r="F11" i="32" s="1"/>
  <c r="G33" i="5"/>
  <c r="F17" i="32" s="1"/>
  <c r="G34" i="5"/>
  <c r="G40" i="5"/>
  <c r="F14" i="32" s="1"/>
  <c r="G41" i="5"/>
  <c r="G43" i="5"/>
  <c r="G44" i="5"/>
  <c r="G46" i="5"/>
  <c r="F19" i="32" s="1"/>
  <c r="G50" i="5"/>
  <c r="G53" i="5"/>
  <c r="G54" i="5"/>
  <c r="G55" i="5"/>
  <c r="G57" i="5"/>
  <c r="G58" i="5"/>
  <c r="G61" i="5"/>
  <c r="G6" i="4" a="1"/>
  <c r="G6" i="4" s="1"/>
  <c r="H6" i="4" s="1"/>
  <c r="G7" i="4" a="1"/>
  <c r="G7" i="4" s="1"/>
  <c r="H7" i="4" s="1"/>
  <c r="G10" i="4" a="1"/>
  <c r="G10" i="4" s="1"/>
  <c r="H10" i="4" s="1"/>
  <c r="G11" i="4" a="1"/>
  <c r="G11" i="4" s="1"/>
  <c r="H11" i="4" s="1"/>
  <c r="G12" i="4" a="1"/>
  <c r="G12" i="4" s="1"/>
  <c r="H12" i="4" s="1"/>
  <c r="G15" i="4" a="1"/>
  <c r="G15" i="4" s="1"/>
  <c r="H15" i="4" s="1"/>
  <c r="G16" i="4" a="1"/>
  <c r="G16" i="4" s="1"/>
  <c r="H16" i="4" s="1"/>
  <c r="G17" i="4" a="1"/>
  <c r="G17" i="4" s="1"/>
  <c r="H17" i="4" s="1"/>
  <c r="G21" i="4" a="1"/>
  <c r="G21" i="4" s="1"/>
  <c r="H21" i="4" s="1"/>
  <c r="G22" i="4" a="1"/>
  <c r="G22" i="4" s="1"/>
  <c r="H22" i="4" s="1"/>
  <c r="G25" i="4" a="1"/>
  <c r="G25" i="4" s="1"/>
  <c r="H25" i="4" s="1"/>
  <c r="G27" i="4" a="1"/>
  <c r="G27" i="4" s="1"/>
  <c r="H27" i="4" s="1"/>
  <c r="G28" i="4" a="1"/>
  <c r="G28" i="4" s="1"/>
  <c r="H28" i="4" s="1"/>
  <c r="G30" i="4" a="1"/>
  <c r="G30" i="4" s="1"/>
  <c r="H30" i="4" s="1"/>
  <c r="G31" i="4" a="1"/>
  <c r="G31" i="4" s="1"/>
  <c r="H31" i="4" s="1"/>
  <c r="G34" i="4" a="1"/>
  <c r="G34" i="4" s="1"/>
  <c r="H34" i="4" s="1"/>
  <c r="G35" i="4" a="1"/>
  <c r="G35" i="4" s="1"/>
  <c r="H35" i="4" s="1"/>
  <c r="G39" i="4" a="1"/>
  <c r="G39" i="4" s="1"/>
  <c r="H39" i="4" s="1"/>
  <c r="G40" i="4" a="1"/>
  <c r="G40" i="4" s="1"/>
  <c r="H40" i="4" s="1"/>
  <c r="G42" i="4" a="1"/>
  <c r="G42" i="4" s="1"/>
  <c r="H42" i="4" s="1"/>
  <c r="G43" i="4" a="1"/>
  <c r="G43" i="4" s="1"/>
  <c r="H43" i="4" s="1"/>
  <c r="G45" i="4" a="1"/>
  <c r="G45" i="4" s="1"/>
  <c r="H45" i="4" s="1"/>
  <c r="I13" i="7" s="1"/>
  <c r="G48" i="4" a="1"/>
  <c r="G48" i="4" s="1"/>
  <c r="H48" i="4" s="1"/>
  <c r="G51" i="4" a="1"/>
  <c r="G51" i="4" s="1"/>
  <c r="H51" i="4" s="1"/>
  <c r="G53" i="4" a="1"/>
  <c r="G53" i="4" s="1"/>
  <c r="H53" i="4" s="1"/>
  <c r="G55" i="4" a="1"/>
  <c r="G55" i="4" s="1"/>
  <c r="H55" i="4" s="1"/>
  <c r="F26" i="32" l="1"/>
  <c r="F3" i="32"/>
  <c r="C9" i="33" s="1"/>
  <c r="F16" i="32"/>
  <c r="F1" i="32"/>
  <c r="H13" i="7"/>
  <c r="J13" i="7" s="1"/>
  <c r="H8" i="7"/>
  <c r="J8" i="7" s="1"/>
  <c r="AF4" i="31"/>
  <c r="BP4" i="31" s="1"/>
  <c r="H11" i="7"/>
  <c r="I11" i="7"/>
  <c r="I10" i="7"/>
  <c r="I12" i="7"/>
  <c r="I15" i="7"/>
  <c r="I14" i="7"/>
  <c r="H10" i="7"/>
  <c r="H14" i="7"/>
  <c r="F12" i="6"/>
  <c r="I9" i="7"/>
  <c r="AM17" i="8"/>
  <c r="N17" i="8"/>
  <c r="I7" i="7"/>
  <c r="I6" i="7"/>
  <c r="H6" i="7"/>
  <c r="H15" i="7"/>
  <c r="H7" i="7"/>
  <c r="AM14" i="8"/>
  <c r="H9" i="7"/>
  <c r="N14" i="8"/>
  <c r="H12" i="7"/>
  <c r="F14" i="6"/>
  <c r="Q31" i="31" l="1"/>
  <c r="B9" i="33"/>
  <c r="G31" i="31" s="1"/>
  <c r="C13" i="33"/>
  <c r="C10" i="33"/>
  <c r="C11" i="33"/>
  <c r="C12" i="33"/>
  <c r="J11" i="7"/>
  <c r="J10" i="7"/>
  <c r="J12" i="7"/>
  <c r="J9" i="7"/>
  <c r="J15" i="7"/>
  <c r="J14" i="7"/>
  <c r="AM20" i="8"/>
  <c r="AM23" i="8" s="1"/>
  <c r="J7" i="7"/>
  <c r="N20" i="8"/>
  <c r="N23" i="8" s="1"/>
  <c r="J6" i="7"/>
  <c r="B13" i="33" l="1"/>
  <c r="G43" i="31" s="1"/>
  <c r="Q43" i="31"/>
  <c r="B10" i="33"/>
  <c r="G34" i="31" s="1"/>
  <c r="Q34" i="31"/>
  <c r="B11" i="33"/>
  <c r="G37" i="31" s="1"/>
  <c r="Q37" i="31"/>
  <c r="B12" i="33"/>
  <c r="G40" i="31" s="1"/>
  <c r="Q40" i="31"/>
  <c r="N9" i="7"/>
  <c r="P9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<sst xmlns="http://schemas.openxmlformats.org/spreadsheetml/2006/main" count="358" uniqueCount="128">
  <si>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</si>
  <si>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</si>
  <si>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</si>
  <si>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</si>
  <si>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</si>
  <si>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</si>
  <si>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</si>
  <si>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</si>
  <si>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</si>
  <si>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</si>
  <si>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</si>
  <si>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</si>
  <si>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</si>
  <si>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</si>
  <si>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</si>
  <si>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</si>
  <si>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</si>
  <si>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</si>
  <si>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</si>
  <si>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</si>
  <si>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</si>
  <si>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</si>
  <si>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</si>
  <si>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</si>
  <si>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</si>
  <si>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</si>
  <si>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</si>
  <si>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</si>
  <si>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</si>
  <si>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</si>
  <si>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</si>
  <si>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</si>
  <si>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</si>
  <si>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</si>
  <si>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</si>
  <si>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</si>
  <si>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</si>
  <si>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</si>
  <si>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</si>
  <si>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</si>
  <si>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</si>
  <si>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</si>
  <si>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</si>
  <si>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</si>
  <si>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</si>
  <si>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</si>
  <si>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</si>
  <si>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</si>
  <si>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</si>
  <si>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</si>
  <si>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</si>
  <si>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</si>
  <si>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</si>
  <si>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</si>
  <si>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</si>
  <si>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</si>
  <si>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</si>
  <si>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</si>
  <si>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</si>
  <si>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</si>
  <si>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</si>
  <si>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</si>
  <si>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</si>
  <si>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</si>
  <si>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Valor da Compra</t>
  </si>
  <si>
    <t>Controle de Saídas</t>
  </si>
  <si>
    <t>Quantidade Vendida</t>
  </si>
  <si>
    <t>Valor de Venda</t>
  </si>
  <si>
    <t xml:space="preserve">Consulta </t>
  </si>
  <si>
    <t>&lt;10/05/2022</t>
  </si>
  <si>
    <t/>
  </si>
  <si>
    <t xml:space="preserve">Quantidade em Estoque </t>
  </si>
  <si>
    <t>Controle de Estoque</t>
  </si>
  <si>
    <t>Entradas</t>
  </si>
  <si>
    <t xml:space="preserve">Saídas </t>
  </si>
  <si>
    <t>Saldo em Estoque</t>
  </si>
  <si>
    <t>Status do Estoque</t>
  </si>
  <si>
    <t>Custo Total</t>
  </si>
  <si>
    <t>Lucro</t>
  </si>
  <si>
    <t>Produto Mais Rentável</t>
  </si>
  <si>
    <t>Quadro de Resumo</t>
  </si>
  <si>
    <t>Dados 2022</t>
  </si>
  <si>
    <t>Consulta por Produto</t>
  </si>
  <si>
    <t xml:space="preserve">Produtos Vendidos: </t>
  </si>
  <si>
    <t xml:space="preserve">Dados: </t>
  </si>
  <si>
    <t xml:space="preserve">Qtd em Estoque: </t>
  </si>
  <si>
    <t xml:space="preserve">Faturamento: </t>
  </si>
  <si>
    <t xml:space="preserve">Despesas: </t>
  </si>
  <si>
    <t xml:space="preserve">Lucro: </t>
  </si>
  <si>
    <t xml:space="preserve">% Lucro: </t>
  </si>
  <si>
    <r>
      <rPr>
        <b/>
        <sz val="24"/>
        <color rgb="FF1A261A"/>
        <rFont val="Barlow"/>
      </rPr>
      <t>DASHBOARD</t>
    </r>
    <r>
      <rPr>
        <sz val="24"/>
        <color rgb="FF1A261A"/>
        <rFont val="Barlow"/>
      </rPr>
      <t xml:space="preserve"> </t>
    </r>
    <r>
      <rPr>
        <b/>
        <sz val="24"/>
        <color rgb="FF1A261A"/>
        <rFont val="Barlow"/>
      </rPr>
      <t xml:space="preserve">  </t>
    </r>
  </si>
  <si>
    <t>FATURAMENTO</t>
  </si>
  <si>
    <t>DESPESAS</t>
  </si>
  <si>
    <t>LUCRO</t>
  </si>
  <si>
    <t>TOP 5 PRODUTOS MAIS VENDIDOS</t>
  </si>
  <si>
    <t>FATURAMENTO X DESPESA</t>
  </si>
  <si>
    <t>ENTRADA X SAÍDA MENSAL</t>
  </si>
  <si>
    <t>ENTRADA X SAÍDA ANUAL</t>
  </si>
  <si>
    <t>RANKING FATURAMENTO</t>
  </si>
  <si>
    <t>1º</t>
  </si>
  <si>
    <t>2º</t>
  </si>
  <si>
    <t>3º</t>
  </si>
  <si>
    <t>4º</t>
  </si>
  <si>
    <t>5º</t>
  </si>
  <si>
    <t>Qtd comprada</t>
  </si>
  <si>
    <t>Ranking</t>
  </si>
  <si>
    <t>Qtd vendida</t>
  </si>
  <si>
    <t>Raking</t>
  </si>
  <si>
    <t>Faturamento</t>
  </si>
  <si>
    <t>Faturamento VS Despesas</t>
  </si>
  <si>
    <t>N. Mês</t>
  </si>
  <si>
    <t>Mês</t>
  </si>
  <si>
    <t>Despesas</t>
  </si>
  <si>
    <t>Saídas</t>
  </si>
  <si>
    <t>Entradas e Saídas (Qtd)</t>
  </si>
  <si>
    <t>fev</t>
  </si>
  <si>
    <t>mar</t>
  </si>
  <si>
    <t>jan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</si>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</sst>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  <numFmt numFmtId="166" formatCode="mmm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4"/>
      <color theme="0"/>
      <name val="Arial Rounded MT Bold"/>
      <family val="2"/>
    </font>
    <font>
      <b/>
      <sz val="28"/>
      <color rgb="FF093364"/>
      <name val="Calibri"/>
      <family val="2"/>
      <scheme val="minor"/>
    </font>
    <font>
      <b/>
      <sz val="11"/>
      <color theme="0"/>
      <name val="Arial Rounded MT Bold"/>
      <family val="2"/>
    </font>
    <font>
      <b/>
      <sz val="12.5"/>
      <color theme="0"/>
      <name val="Arial Rounded MT Bold"/>
      <family val="2"/>
    </font>
    <font>
      <b/>
      <sz val="28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26"/>
      <color rgb="FF030303"/>
      <name val="Calibri"/>
      <family val="2"/>
      <scheme val="minor"/>
    </font>
    <font>
      <b/>
      <sz val="28"/>
      <color rgb="FF030303"/>
      <name val="Calibri"/>
      <family val="2"/>
      <scheme val="minor"/>
    </font>
    <font>
      <sz val="11"/>
      <color rgb="FF030303"/>
      <name val="Calibri"/>
      <family val="2"/>
      <scheme val="minor"/>
    </font>
    <font>
      <sz val="35"/>
      <color rgb="FF764600"/>
      <name val="JasmineUPC"/>
    </font>
    <font>
      <b/>
      <sz val="25"/>
      <color rgb="FF030303"/>
      <name val="Calibri"/>
      <family val="2"/>
      <scheme val="minor"/>
    </font>
    <font>
      <b/>
      <sz val="16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26"/>
      <color rgb="FF1A261A"/>
      <name val="Barlow"/>
    </font>
    <font>
      <b/>
      <sz val="16"/>
      <color theme="0"/>
      <name val="Barlow"/>
    </font>
    <font>
      <b/>
      <sz val="13"/>
      <color rgb="FF1A261A"/>
      <name val="Barlow"/>
    </font>
    <font>
      <b/>
      <sz val="13.5"/>
      <color rgb="FF1A261A"/>
      <name val="Barlow"/>
    </font>
    <font>
      <sz val="24"/>
      <color rgb="FF1A261A"/>
      <name val="Barlow"/>
    </font>
    <font>
      <b/>
      <sz val="24"/>
      <color rgb="FF1A261A"/>
      <name val="Barlow"/>
    </font>
    <font>
      <sz val="11"/>
      <name val="Barlow"/>
    </font>
    <font>
      <b/>
      <sz val="11"/>
      <name val="Barlow"/>
    </font>
    <font>
      <b/>
      <sz val="24"/>
      <color theme="0"/>
      <name val="Barlow ExtraBold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Barlow"/>
    </font>
    <font>
      <sz val="11"/>
      <color rgb="FF002060"/>
      <name val="Barlow"/>
    </font>
    <font>
      <b/>
      <sz val="11"/>
      <color theme="0"/>
      <name val="Barlow"/>
    </font>
    <font>
      <sz val="11"/>
      <color rgb="FF4472C4"/>
      <name val="Barlow"/>
    </font>
    <font>
      <b/>
      <sz val="11"/>
      <color theme="1"/>
      <name val="Barlow"/>
    </font>
    <font>
      <b/>
      <sz val="12"/>
      <name val="Barlow"/>
    </font>
    <font>
      <b/>
      <sz val="12"/>
      <color theme="1"/>
      <name val="Barlow"/>
    </font>
    <font>
      <b/>
      <sz val="18"/>
      <color theme="0"/>
      <name val="Calibri"/>
      <family val="2"/>
      <scheme val="minor"/>
    </font>
    <font>
      <sz val="11"/>
      <color rgb="FFEBC282"/>
      <name val="Calibri"/>
      <family val="2"/>
      <scheme val="minor"/>
    </font>
    <font>
      <b/>
      <sz val="15"/>
      <name val="Barlow"/>
    </font>
    <font>
      <b/>
      <sz val="14"/>
      <name val="Barlow"/>
    </font>
    <font>
      <b/>
      <sz val="15"/>
      <color theme="0"/>
      <name val="Barl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EBC282"/>
        <bgColor indexed="64"/>
      </patternFill>
    </fill>
    <fill>
      <patternFill patternType="solid">
        <fgColor rgb="FFEBC282"/>
        <bgColor theme="4"/>
      </patternFill>
    </fill>
    <fill>
      <patternFill patternType="solid">
        <fgColor rgb="FF373A3A"/>
        <bgColor indexed="64"/>
      </patternFill>
    </fill>
    <fill>
      <patternFill patternType="solid">
        <fgColor rgb="FFE7B667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787674"/>
      </left>
      <right/>
      <top style="medium">
        <color rgb="FF787674"/>
      </top>
      <bottom/>
      <diagonal/>
    </border>
    <border>
      <left/>
      <right/>
      <top style="medium">
        <color rgb="FF787674"/>
      </top>
      <bottom/>
      <diagonal/>
    </border>
    <border>
      <left/>
      <right style="medium">
        <color rgb="FF787674"/>
      </right>
      <top style="medium">
        <color rgb="FF787674"/>
      </top>
      <bottom/>
      <diagonal/>
    </border>
    <border>
      <left style="medium">
        <color rgb="FF787674"/>
      </left>
      <right/>
      <top/>
      <bottom/>
      <diagonal/>
    </border>
    <border>
      <left/>
      <right style="medium">
        <color rgb="FF787674"/>
      </right>
      <top/>
      <bottom/>
      <diagonal/>
    </border>
    <border>
      <left style="medium">
        <color rgb="FF787674"/>
      </left>
      <right/>
      <top/>
      <bottom style="medium">
        <color rgb="FF787674"/>
      </bottom>
      <diagonal/>
    </border>
    <border>
      <left/>
      <right/>
      <top/>
      <bottom style="medium">
        <color rgb="FF787674"/>
      </bottom>
      <diagonal/>
    </border>
    <border>
      <left/>
      <right style="medium">
        <color rgb="FF787674"/>
      </right>
      <top/>
      <bottom style="medium">
        <color rgb="FF787674"/>
      </bottom>
      <diagonal/>
    </border>
    <border>
      <left/>
      <right/>
      <top style="medium">
        <color rgb="FFE8D7A4"/>
      </top>
      <bottom/>
      <diagonal/>
    </border>
    <border>
      <left/>
      <right/>
      <top/>
      <bottom style="medium">
        <color rgb="FFE8D7A4"/>
      </bottom>
      <diagonal/>
    </border>
    <border>
      <left style="thick">
        <color rgb="FFE8D7A4"/>
      </left>
      <right/>
      <top style="medium">
        <color rgb="FFE8D7A4"/>
      </top>
      <bottom/>
      <diagonal/>
    </border>
    <border>
      <left style="thick">
        <color rgb="FFE8D7A4"/>
      </left>
      <right/>
      <top/>
      <bottom/>
      <diagonal/>
    </border>
    <border>
      <left/>
      <right style="thick">
        <color rgb="FFE8D7A4"/>
      </right>
      <top/>
      <bottom/>
      <diagonal/>
    </border>
    <border>
      <left style="thick">
        <color rgb="FFE8D7A4"/>
      </left>
      <right/>
      <top/>
      <bottom style="medium">
        <color rgb="FFE8D7A4"/>
      </bottom>
      <diagonal/>
    </border>
    <border>
      <left style="medium">
        <color rgb="FF787674"/>
      </left>
      <right/>
      <top/>
      <bottom style="medium">
        <color rgb="FFE8D7A4"/>
      </bottom>
      <diagonal/>
    </border>
    <border>
      <left/>
      <right style="medium">
        <color rgb="FF787674"/>
      </right>
      <top/>
      <bottom style="medium">
        <color rgb="FFE8D7A4"/>
      </bottom>
      <diagonal/>
    </border>
    <border>
      <left style="medium">
        <color rgb="FF787674"/>
      </left>
      <right/>
      <top style="medium">
        <color rgb="FFE8D7A4"/>
      </top>
      <bottom/>
      <diagonal/>
    </border>
    <border>
      <left/>
      <right style="medium">
        <color rgb="FF787674"/>
      </right>
      <top style="medium">
        <color rgb="FFE8D7A4"/>
      </top>
      <bottom/>
      <diagonal/>
    </border>
    <border>
      <left/>
      <right style="thick">
        <color rgb="FFE8D7A4"/>
      </right>
      <top/>
      <bottom style="medium">
        <color rgb="FF787674"/>
      </bottom>
      <diagonal/>
    </border>
    <border>
      <left style="thick">
        <color rgb="FFE8D7A4"/>
      </left>
      <right/>
      <top/>
      <bottom style="medium">
        <color rgb="FF787674"/>
      </bottom>
      <diagonal/>
    </border>
    <border>
      <left style="thick">
        <color rgb="FFE8D7A4"/>
      </left>
      <right/>
      <top style="medium">
        <color rgb="FF787674"/>
      </top>
      <bottom/>
      <diagonal/>
    </border>
    <border>
      <left/>
      <right style="thick">
        <color rgb="FFE8D7A4"/>
      </right>
      <top style="medium">
        <color rgb="FF787674"/>
      </top>
      <bottom/>
      <diagonal/>
    </border>
    <border>
      <left style="thick">
        <color rgb="FFE8D7A4"/>
      </left>
      <right/>
      <top style="thick">
        <color rgb="FFE8D7A4"/>
      </top>
      <bottom/>
      <diagonal/>
    </border>
    <border>
      <left/>
      <right/>
      <top style="thick">
        <color rgb="FFE8D7A4"/>
      </top>
      <bottom/>
      <diagonal/>
    </border>
    <border>
      <left/>
      <right style="thick">
        <color rgb="FFE8D7A4"/>
      </right>
      <top style="thick">
        <color rgb="FFE8D7A4"/>
      </top>
      <bottom/>
      <diagonal/>
    </border>
    <border>
      <left style="thick">
        <color rgb="FFE8D7A4"/>
      </left>
      <right/>
      <top/>
      <bottom style="thick">
        <color rgb="FFE8D7A4"/>
      </bottom>
      <diagonal/>
    </border>
    <border>
      <left/>
      <right/>
      <top/>
      <bottom style="thick">
        <color rgb="FFE8D7A4"/>
      </bottom>
      <diagonal/>
    </border>
    <border>
      <left/>
      <right style="thick">
        <color rgb="FFE8D7A4"/>
      </right>
      <top/>
      <bottom style="thick">
        <color rgb="FFE8D7A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38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10" fillId="0" borderId="0" xfId="0" applyFont="1"/>
    <xf numFmtId="0" fontId="7" fillId="0" borderId="0" xfId="0" applyFont="1"/>
    <xf numFmtId="0" fontId="13" fillId="0" borderId="0" xfId="0" applyFont="1"/>
    <xf numFmtId="4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21" fillId="0" borderId="0" xfId="0" applyFont="1"/>
    <xf numFmtId="0" fontId="20" fillId="0" borderId="0" xfId="0" applyFont="1" applyAlignment="1">
      <alignment vertical="center"/>
    </xf>
    <xf numFmtId="4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4" fontId="2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0" fillId="3" borderId="0" xfId="0" applyFill="1"/>
    <xf numFmtId="44" fontId="0" fillId="3" borderId="0" xfId="1" applyFont="1" applyFill="1"/>
    <xf numFmtId="0" fontId="0" fillId="0" borderId="22" xfId="0" applyBorder="1"/>
    <xf numFmtId="0" fontId="0" fillId="0" borderId="23" xfId="0" applyBorder="1"/>
    <xf numFmtId="0" fontId="22" fillId="0" borderId="0" xfId="0" applyFont="1" applyAlignment="1">
      <alignment vertical="center" wrapText="1"/>
    </xf>
    <xf numFmtId="0" fontId="0" fillId="5" borderId="0" xfId="0" applyFill="1"/>
    <xf numFmtId="44" fontId="0" fillId="5" borderId="0" xfId="1" applyFont="1" applyFill="1"/>
    <xf numFmtId="0" fontId="32" fillId="0" borderId="0" xfId="0" applyFont="1"/>
    <xf numFmtId="0" fontId="32" fillId="0" borderId="0" xfId="0" applyFont="1" applyAlignment="1">
      <alignment horizontal="center"/>
    </xf>
    <xf numFmtId="164" fontId="32" fillId="0" borderId="0" xfId="1" applyNumberFormat="1" applyFont="1" applyFill="1" applyBorder="1"/>
    <xf numFmtId="0" fontId="34" fillId="3" borderId="0" xfId="0" applyFont="1" applyFill="1" applyAlignment="1">
      <alignment vertical="center"/>
    </xf>
    <xf numFmtId="44" fontId="0" fillId="3" borderId="0" xfId="1" applyFont="1" applyFill="1" applyAlignment="1"/>
    <xf numFmtId="14" fontId="5" fillId="4" borderId="0" xfId="0" applyNumberFormat="1" applyFont="1" applyFill="1" applyAlignment="1">
      <alignment horizontal="center" vertical="center" wrapText="1"/>
    </xf>
    <xf numFmtId="14" fontId="35" fillId="4" borderId="0" xfId="0" applyNumberFormat="1" applyFont="1" applyFill="1" applyAlignment="1">
      <alignment horizontal="center" vertical="center" wrapText="1"/>
    </xf>
    <xf numFmtId="14" fontId="32" fillId="0" borderId="0" xfId="0" applyNumberFormat="1" applyFont="1"/>
    <xf numFmtId="0" fontId="32" fillId="0" borderId="0" xfId="0" applyFont="1" applyAlignment="1">
      <alignment horizontal="left"/>
    </xf>
    <xf numFmtId="0" fontId="32" fillId="0" borderId="0" xfId="1" applyNumberFormat="1" applyFont="1" applyFill="1" applyBorder="1" applyAlignment="1">
      <alignment horizontal="center"/>
    </xf>
    <xf numFmtId="164" fontId="38" fillId="0" borderId="0" xfId="0" applyNumberFormat="1" applyFont="1"/>
    <xf numFmtId="14" fontId="32" fillId="0" borderId="0" xfId="0" applyNumberFormat="1" applyFont="1" applyAlignment="1">
      <alignment horizontal="right"/>
    </xf>
    <xf numFmtId="0" fontId="32" fillId="0" borderId="0" xfId="1" applyNumberFormat="1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36" fillId="4" borderId="0" xfId="0" applyFont="1" applyFill="1"/>
    <xf numFmtId="0" fontId="37" fillId="0" borderId="0" xfId="0" applyFont="1" applyAlignment="1">
      <alignment horizontal="center"/>
    </xf>
    <xf numFmtId="164" fontId="38" fillId="0" borderId="0" xfId="1" applyNumberFormat="1" applyFont="1"/>
    <xf numFmtId="0" fontId="41" fillId="6" borderId="1" xfId="0" quotePrefix="1" applyFont="1" applyFill="1" applyBorder="1" applyAlignment="1">
      <alignment horizontal="center" vertical="center"/>
    </xf>
    <xf numFmtId="1" fontId="41" fillId="6" borderId="1" xfId="0" applyNumberFormat="1" applyFont="1" applyFill="1" applyBorder="1" applyAlignment="1">
      <alignment horizontal="center" vertical="center"/>
    </xf>
    <xf numFmtId="1" fontId="41" fillId="6" borderId="0" xfId="0" applyNumberFormat="1" applyFont="1" applyFill="1" applyAlignment="1">
      <alignment horizontal="center" vertical="center"/>
    </xf>
    <xf numFmtId="164" fontId="41" fillId="6" borderId="0" xfId="0" applyNumberFormat="1" applyFont="1" applyFill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2" fillId="7" borderId="0" xfId="0" applyFont="1" applyFill="1" applyAlignment="1">
      <alignment horizontal="center"/>
    </xf>
    <xf numFmtId="0" fontId="0" fillId="7" borderId="0" xfId="0" applyFill="1"/>
    <xf numFmtId="0" fontId="42" fillId="8" borderId="0" xfId="0" applyFont="1" applyFill="1" applyAlignment="1">
      <alignment horizontal="center" vertical="center"/>
    </xf>
    <xf numFmtId="0" fontId="4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1" fontId="40" fillId="7" borderId="0" xfId="0" applyNumberFormat="1" applyFont="1" applyFill="1" applyAlignment="1">
      <alignment horizontal="center" vertical="center"/>
    </xf>
    <xf numFmtId="0" fontId="39" fillId="7" borderId="0" xfId="0" applyFont="1" applyFill="1" applyAlignment="1">
      <alignment horizontal="center"/>
    </xf>
    <xf numFmtId="0" fontId="33" fillId="8" borderId="0" xfId="0" applyFont="1" applyFill="1" applyAlignment="1">
      <alignment horizontal="right" vertical="center"/>
    </xf>
    <xf numFmtId="0" fontId="39" fillId="8" borderId="0" xfId="0" applyFont="1" applyFill="1" applyAlignment="1">
      <alignment horizontal="right" vertical="center"/>
    </xf>
    <xf numFmtId="0" fontId="39" fillId="7" borderId="1" xfId="0" applyFont="1" applyFill="1" applyBorder="1" applyAlignment="1">
      <alignment horizontal="center"/>
    </xf>
    <xf numFmtId="0" fontId="39" fillId="8" borderId="0" xfId="0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9" fillId="7" borderId="7" xfId="0" applyFont="1" applyFill="1" applyBorder="1" applyAlignment="1">
      <alignment vertical="top"/>
    </xf>
    <xf numFmtId="0" fontId="9" fillId="7" borderId="0" xfId="0" applyFont="1" applyFill="1" applyAlignment="1">
      <alignment vertical="top"/>
    </xf>
    <xf numFmtId="0" fontId="9" fillId="7" borderId="8" xfId="0" applyFont="1" applyFill="1" applyBorder="1" applyAlignment="1">
      <alignment vertical="top"/>
    </xf>
    <xf numFmtId="0" fontId="0" fillId="7" borderId="7" xfId="0" applyFill="1" applyBorder="1"/>
    <xf numFmtId="0" fontId="6" fillId="7" borderId="0" xfId="0" applyFont="1" applyFill="1"/>
    <xf numFmtId="0" fontId="0" fillId="7" borderId="9" xfId="0" applyFill="1" applyBorder="1"/>
    <xf numFmtId="0" fontId="0" fillId="7" borderId="10" xfId="0" applyFill="1" applyBorder="1"/>
    <xf numFmtId="0" fontId="5" fillId="7" borderId="0" xfId="0" applyFont="1" applyFill="1"/>
    <xf numFmtId="0" fontId="0" fillId="7" borderId="8" xfId="0" applyFill="1" applyBorder="1"/>
    <xf numFmtId="0" fontId="33" fillId="7" borderId="0" xfId="0" applyFont="1" applyFill="1"/>
    <xf numFmtId="0" fontId="0" fillId="7" borderId="11" xfId="0" applyFill="1" applyBorder="1"/>
    <xf numFmtId="0" fontId="0" fillId="9" borderId="0" xfId="0" applyFill="1"/>
    <xf numFmtId="0" fontId="37" fillId="7" borderId="0" xfId="0" applyFont="1" applyFill="1"/>
    <xf numFmtId="0" fontId="41" fillId="7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6" fillId="4" borderId="0" xfId="0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164" fontId="8" fillId="2" borderId="2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center" vertical="center"/>
    </xf>
    <xf numFmtId="164" fontId="33" fillId="2" borderId="0" xfId="0" applyNumberFormat="1" applyFont="1" applyFill="1" applyAlignment="1">
      <alignment horizontal="center" vertical="center"/>
    </xf>
    <xf numFmtId="10" fontId="33" fillId="2" borderId="0" xfId="3" applyNumberFormat="1" applyFont="1" applyFill="1" applyBorder="1" applyAlignment="1">
      <alignment horizontal="center" vertical="center"/>
    </xf>
    <xf numFmtId="0" fontId="43" fillId="7" borderId="0" xfId="0" applyFont="1" applyFill="1" applyAlignment="1">
      <alignment horizontal="right" vertical="center"/>
    </xf>
    <xf numFmtId="0" fontId="43" fillId="7" borderId="18" xfId="0" applyFont="1" applyFill="1" applyBorder="1" applyAlignment="1">
      <alignment horizontal="right" vertical="center"/>
    </xf>
    <xf numFmtId="164" fontId="41" fillId="2" borderId="12" xfId="0" applyNumberFormat="1" applyFont="1" applyFill="1" applyBorder="1" applyAlignment="1">
      <alignment horizontal="center" vertical="center"/>
    </xf>
    <xf numFmtId="0" fontId="41" fillId="2" borderId="13" xfId="0" applyFont="1" applyFill="1" applyBorder="1" applyAlignment="1">
      <alignment horizontal="center" vertical="center"/>
    </xf>
    <xf numFmtId="0" fontId="41" fillId="2" borderId="14" xfId="0" applyFont="1" applyFill="1" applyBorder="1" applyAlignment="1">
      <alignment horizontal="center" vertical="center"/>
    </xf>
    <xf numFmtId="0" fontId="41" fillId="2" borderId="15" xfId="0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/>
    </xf>
    <xf numFmtId="10" fontId="41" fillId="2" borderId="12" xfId="3" applyNumberFormat="1" applyFont="1" applyFill="1" applyBorder="1" applyAlignment="1">
      <alignment horizontal="center" vertical="center"/>
    </xf>
    <xf numFmtId="10" fontId="41" fillId="2" borderId="13" xfId="3" applyNumberFormat="1" applyFont="1" applyFill="1" applyBorder="1" applyAlignment="1">
      <alignment horizontal="center" vertical="center"/>
    </xf>
    <xf numFmtId="10" fontId="41" fillId="2" borderId="14" xfId="3" applyNumberFormat="1" applyFont="1" applyFill="1" applyBorder="1" applyAlignment="1">
      <alignment horizontal="center" vertical="center"/>
    </xf>
    <xf numFmtId="10" fontId="41" fillId="2" borderId="15" xfId="3" applyNumberFormat="1" applyFont="1" applyFill="1" applyBorder="1" applyAlignment="1">
      <alignment horizontal="center" vertical="center"/>
    </xf>
    <xf numFmtId="10" fontId="41" fillId="2" borderId="16" xfId="3" applyNumberFormat="1" applyFont="1" applyFill="1" applyBorder="1" applyAlignment="1">
      <alignment horizontal="center" vertical="center"/>
    </xf>
    <xf numFmtId="10" fontId="41" fillId="2" borderId="17" xfId="3" applyNumberFormat="1" applyFont="1" applyFill="1" applyBorder="1" applyAlignment="1">
      <alignment horizontal="center" vertical="center"/>
    </xf>
    <xf numFmtId="0" fontId="41" fillId="2" borderId="12" xfId="0" applyFont="1" applyFill="1" applyBorder="1" applyAlignment="1" applyProtection="1">
      <alignment horizontal="center" vertical="center"/>
      <protection locked="0"/>
    </xf>
    <xf numFmtId="0" fontId="41" fillId="2" borderId="13" xfId="0" applyFont="1" applyFill="1" applyBorder="1" applyAlignment="1" applyProtection="1">
      <alignment horizontal="center" vertical="center"/>
      <protection locked="0"/>
    </xf>
    <xf numFmtId="0" fontId="41" fillId="2" borderId="14" xfId="0" applyFont="1" applyFill="1" applyBorder="1" applyAlignment="1" applyProtection="1">
      <alignment horizontal="center" vertical="center"/>
      <protection locked="0"/>
    </xf>
    <xf numFmtId="0" fontId="41" fillId="2" borderId="15" xfId="0" applyFont="1" applyFill="1" applyBorder="1" applyAlignment="1" applyProtection="1">
      <alignment horizontal="center" vertical="center"/>
      <protection locked="0"/>
    </xf>
    <xf numFmtId="0" fontId="41" fillId="2" borderId="16" xfId="0" applyFont="1" applyFill="1" applyBorder="1" applyAlignment="1" applyProtection="1">
      <alignment horizontal="center" vertical="center"/>
      <protection locked="0"/>
    </xf>
    <xf numFmtId="0" fontId="41" fillId="2" borderId="17" xfId="0" applyFont="1" applyFill="1" applyBorder="1" applyAlignment="1" applyProtection="1">
      <alignment horizontal="center" vertical="center"/>
      <protection locked="0"/>
    </xf>
    <xf numFmtId="0" fontId="41" fillId="2" borderId="12" xfId="0" applyFont="1" applyFill="1" applyBorder="1" applyAlignment="1">
      <alignment horizontal="center" vertical="center"/>
    </xf>
    <xf numFmtId="164" fontId="41" fillId="2" borderId="13" xfId="0" applyNumberFormat="1" applyFont="1" applyFill="1" applyBorder="1" applyAlignment="1">
      <alignment horizontal="center" vertical="center"/>
    </xf>
    <xf numFmtId="164" fontId="41" fillId="2" borderId="14" xfId="0" applyNumberFormat="1" applyFont="1" applyFill="1" applyBorder="1" applyAlignment="1">
      <alignment horizontal="center" vertical="center"/>
    </xf>
    <xf numFmtId="164" fontId="41" fillId="2" borderId="15" xfId="0" applyNumberFormat="1" applyFont="1" applyFill="1" applyBorder="1" applyAlignment="1">
      <alignment horizontal="center" vertical="center"/>
    </xf>
    <xf numFmtId="164" fontId="41" fillId="2" borderId="16" xfId="0" applyNumberFormat="1" applyFont="1" applyFill="1" applyBorder="1" applyAlignment="1">
      <alignment horizontal="center" vertical="center"/>
    </xf>
    <xf numFmtId="164" fontId="41" fillId="2" borderId="17" xfId="0" applyNumberFormat="1" applyFont="1" applyFill="1" applyBorder="1" applyAlignment="1">
      <alignment horizontal="center" vertical="center"/>
    </xf>
    <xf numFmtId="0" fontId="44" fillId="10" borderId="4" xfId="0" applyFont="1" applyFill="1" applyBorder="1" applyAlignment="1">
      <alignment horizontal="center" vertical="center"/>
    </xf>
    <xf numFmtId="0" fontId="44" fillId="10" borderId="5" xfId="0" applyFont="1" applyFill="1" applyBorder="1" applyAlignment="1">
      <alignment horizontal="center" vertical="center"/>
    </xf>
    <xf numFmtId="0" fontId="44" fillId="10" borderId="6" xfId="0" applyFont="1" applyFill="1" applyBorder="1" applyAlignment="1">
      <alignment horizontal="center" vertical="center"/>
    </xf>
    <xf numFmtId="0" fontId="44" fillId="10" borderId="7" xfId="0" applyFont="1" applyFill="1" applyBorder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44" fillId="10" borderId="8" xfId="0" applyFont="1" applyFill="1" applyBorder="1" applyAlignment="1">
      <alignment horizontal="center" vertical="center"/>
    </xf>
    <xf numFmtId="0" fontId="45" fillId="7" borderId="16" xfId="0" applyFont="1" applyFill="1" applyBorder="1" applyAlignment="1">
      <alignment horizontal="center" vertical="top"/>
    </xf>
    <xf numFmtId="0" fontId="30" fillId="0" borderId="0" xfId="0" applyFont="1" applyAlignment="1">
      <alignment horizontal="center" wrapText="1"/>
    </xf>
    <xf numFmtId="0" fontId="48" fillId="3" borderId="19" xfId="0" applyFont="1" applyFill="1" applyBorder="1" applyAlignment="1">
      <alignment horizontal="center" vertical="center"/>
    </xf>
    <xf numFmtId="0" fontId="48" fillId="3" borderId="20" xfId="0" applyFont="1" applyFill="1" applyBorder="1" applyAlignment="1">
      <alignment horizontal="center" vertical="center"/>
    </xf>
    <xf numFmtId="0" fontId="48" fillId="3" borderId="21" xfId="0" applyFont="1" applyFill="1" applyBorder="1" applyAlignment="1">
      <alignment horizontal="center" vertical="center"/>
    </xf>
    <xf numFmtId="0" fontId="48" fillId="3" borderId="24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center" vertical="center"/>
    </xf>
    <xf numFmtId="0" fontId="48" fillId="3" borderId="26" xfId="0" applyFont="1" applyFill="1" applyBorder="1" applyAlignment="1">
      <alignment horizontal="center" vertical="center"/>
    </xf>
    <xf numFmtId="165" fontId="26" fillId="2" borderId="22" xfId="0" applyNumberFormat="1" applyFont="1" applyFill="1" applyBorder="1" applyAlignment="1">
      <alignment horizontal="center" vertical="center"/>
    </xf>
    <xf numFmtId="165" fontId="26" fillId="2" borderId="0" xfId="0" applyNumberFormat="1" applyFont="1" applyFill="1" applyAlignment="1">
      <alignment horizontal="center" vertical="center"/>
    </xf>
    <xf numFmtId="165" fontId="26" fillId="2" borderId="23" xfId="0" applyNumberFormat="1" applyFont="1" applyFill="1" applyBorder="1" applyAlignment="1">
      <alignment horizontal="center" vertical="center"/>
    </xf>
    <xf numFmtId="165" fontId="26" fillId="2" borderId="24" xfId="0" applyNumberFormat="1" applyFont="1" applyFill="1" applyBorder="1" applyAlignment="1">
      <alignment horizontal="center" vertical="center"/>
    </xf>
    <xf numFmtId="165" fontId="26" fillId="2" borderId="25" xfId="0" applyNumberFormat="1" applyFont="1" applyFill="1" applyBorder="1" applyAlignment="1">
      <alignment horizontal="center" vertical="center"/>
    </xf>
    <xf numFmtId="165" fontId="26" fillId="2" borderId="26" xfId="0" applyNumberFormat="1" applyFont="1" applyFill="1" applyBorder="1" applyAlignment="1">
      <alignment horizontal="center" vertical="center"/>
    </xf>
    <xf numFmtId="9" fontId="26" fillId="2" borderId="22" xfId="3" applyFont="1" applyFill="1" applyBorder="1" applyAlignment="1">
      <alignment horizontal="center" vertical="center"/>
    </xf>
    <xf numFmtId="9" fontId="26" fillId="2" borderId="0" xfId="3" applyFont="1" applyFill="1" applyBorder="1" applyAlignment="1">
      <alignment horizontal="center" vertical="center"/>
    </xf>
    <xf numFmtId="9" fontId="26" fillId="2" borderId="23" xfId="3" applyFont="1" applyFill="1" applyBorder="1" applyAlignment="1">
      <alignment horizontal="center" vertical="center"/>
    </xf>
    <xf numFmtId="9" fontId="26" fillId="2" borderId="24" xfId="3" applyFont="1" applyFill="1" applyBorder="1" applyAlignment="1">
      <alignment horizontal="center" vertical="center"/>
    </xf>
    <xf numFmtId="9" fontId="26" fillId="2" borderId="25" xfId="3" applyFont="1" applyFill="1" applyBorder="1" applyAlignment="1">
      <alignment horizontal="center" vertical="center"/>
    </xf>
    <xf numFmtId="9" fontId="26" fillId="2" borderId="26" xfId="3" applyFont="1" applyFill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47" fillId="0" borderId="19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165" fontId="29" fillId="0" borderId="39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 vertical="center"/>
    </xf>
    <xf numFmtId="165" fontId="29" fillId="0" borderId="40" xfId="0" applyNumberFormat="1" applyFont="1" applyBorder="1" applyAlignment="1">
      <alignment horizontal="center" vertical="center"/>
    </xf>
    <xf numFmtId="165" fontId="29" fillId="0" borderId="30" xfId="0" applyNumberFormat="1" applyFont="1" applyBorder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29" fillId="0" borderId="31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65" fontId="29" fillId="0" borderId="39" xfId="0" applyNumberFormat="1" applyFont="1" applyBorder="1" applyAlignment="1">
      <alignment horizontal="left" vertical="center"/>
    </xf>
    <xf numFmtId="165" fontId="29" fillId="0" borderId="20" xfId="0" applyNumberFormat="1" applyFont="1" applyBorder="1" applyAlignment="1">
      <alignment horizontal="left" vertical="center"/>
    </xf>
    <xf numFmtId="165" fontId="29" fillId="0" borderId="21" xfId="0" applyNumberFormat="1" applyFont="1" applyBorder="1" applyAlignment="1">
      <alignment horizontal="left" vertical="center"/>
    </xf>
    <xf numFmtId="165" fontId="29" fillId="0" borderId="30" xfId="0" applyNumberFormat="1" applyFont="1" applyBorder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29" fillId="0" borderId="23" xfId="0" applyNumberFormat="1" applyFont="1" applyBorder="1" applyAlignment="1">
      <alignment horizontal="left" vertical="center"/>
    </xf>
    <xf numFmtId="165" fontId="29" fillId="0" borderId="32" xfId="0" applyNumberFormat="1" applyFont="1" applyBorder="1" applyAlignment="1">
      <alignment horizontal="left" vertical="center"/>
    </xf>
    <xf numFmtId="165" fontId="29" fillId="0" borderId="28" xfId="0" applyNumberFormat="1" applyFont="1" applyBorder="1" applyAlignment="1">
      <alignment horizontal="left" vertical="center"/>
    </xf>
    <xf numFmtId="165" fontId="29" fillId="0" borderId="34" xfId="0" applyNumberFormat="1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4" fontId="1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47" fillId="0" borderId="27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165" fontId="29" fillId="0" borderId="41" xfId="0" applyNumberFormat="1" applyFont="1" applyBorder="1" applyAlignment="1">
      <alignment horizontal="center" vertical="center"/>
    </xf>
    <xf numFmtId="165" fontId="29" fillId="0" borderId="42" xfId="0" applyNumberFormat="1" applyFont="1" applyBorder="1" applyAlignment="1">
      <alignment horizontal="center" vertical="center"/>
    </xf>
    <xf numFmtId="165" fontId="29" fillId="0" borderId="43" xfId="0" applyNumberFormat="1" applyFont="1" applyBorder="1" applyAlignment="1">
      <alignment horizontal="center" vertical="center"/>
    </xf>
    <xf numFmtId="165" fontId="29" fillId="0" borderId="38" xfId="0" applyNumberFormat="1" applyFont="1" applyBorder="1" applyAlignment="1">
      <alignment horizontal="center" vertical="center"/>
    </xf>
    <xf numFmtId="165" fontId="29" fillId="0" borderId="25" xfId="0" applyNumberFormat="1" applyFont="1" applyBorder="1" applyAlignment="1">
      <alignment horizontal="center" vertical="center"/>
    </xf>
    <xf numFmtId="165" fontId="29" fillId="0" borderId="37" xfId="0" applyNumberFormat="1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left" vertical="center"/>
    </xf>
    <xf numFmtId="165" fontId="29" fillId="0" borderId="27" xfId="0" applyNumberFormat="1" applyFont="1" applyBorder="1" applyAlignment="1">
      <alignment horizontal="left" vertical="center"/>
    </xf>
    <xf numFmtId="165" fontId="29" fillId="0" borderId="36" xfId="0" applyNumberFormat="1" applyFont="1" applyBorder="1" applyAlignment="1">
      <alignment horizontal="left" vertical="center"/>
    </xf>
    <xf numFmtId="165" fontId="29" fillId="0" borderId="38" xfId="0" applyNumberFormat="1" applyFont="1" applyBorder="1" applyAlignment="1">
      <alignment horizontal="left" vertical="center"/>
    </xf>
    <xf numFmtId="165" fontId="29" fillId="0" borderId="25" xfId="0" applyNumberFormat="1" applyFont="1" applyBorder="1" applyAlignment="1">
      <alignment horizontal="left" vertical="center"/>
    </xf>
    <xf numFmtId="165" fontId="29" fillId="0" borderId="26" xfId="0" applyNumberFormat="1" applyFont="1" applyBorder="1" applyAlignment="1">
      <alignment horizontal="left" vertical="center"/>
    </xf>
    <xf numFmtId="165" fontId="29" fillId="0" borderId="44" xfId="0" applyNumberFormat="1" applyFont="1" applyBorder="1" applyAlignment="1">
      <alignment horizontal="center" vertical="center"/>
    </xf>
    <xf numFmtId="165" fontId="29" fillId="0" borderId="45" xfId="0" applyNumberFormat="1" applyFont="1" applyBorder="1" applyAlignment="1">
      <alignment horizontal="center" vertical="center"/>
    </xf>
    <xf numFmtId="165" fontId="29" fillId="0" borderId="4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28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7" xfId="0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4">
    <cellStyle name="Hyperlink" xfId="2" xr:uid="{00000000-000B-0000-0000-000008000000}"/>
    <cellStyle name="Moeda" xfId="1" builtinId="4"/>
    <cellStyle name="Normal" xfId="0" builtinId="0"/>
    <cellStyle name="Porcentagem" xfId="3" builtinId="5"/>
  </cellStyles>
  <dxfs count="4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7" tint="0.79998168889431442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  <numFmt numFmtId="0" formatCode="General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41"/>
    </tableStyle>
  </tableStyles>
  <colors>
    <mruColors>
      <color rgb="FF313829"/>
      <color rgb="FF595959"/>
      <color rgb="FFB39563"/>
      <color rgb="FF839563"/>
      <color rgb="FF1A261A"/>
      <color rgb="FF787674"/>
      <color rgb="FF373A3A"/>
      <color rgb="FF343C2C"/>
      <color rgb="FFEBC282"/>
      <color rgb="FFE7B6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401858041126153"/>
          <c:y val="6.6407943473862752E-2"/>
          <c:w val="0.59556575212271123"/>
          <c:h val="0.81844439035891658"/>
        </c:manualLayout>
      </c:layout>
      <c:barChart>
        <c:barDir val="bar"/>
        <c:grouping val="clustered"/>
        <c:varyColors val="0"/>
        <c:ser>
          <c:idx val="1"/>
          <c:order val="0"/>
          <c:tx>
            <c:v>Entradas</c:v>
          </c:tx>
          <c:spPr>
            <a:solidFill>
              <a:srgbClr val="31382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de cálculo'!$B$2:$B$6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Coxinha</c:v>
                </c:pt>
                <c:pt idx="4">
                  <c:v>Refrigerante</c:v>
                </c:pt>
              </c:strCache>
            </c:strRef>
          </c:cat>
          <c:val>
            <c:numRef>
              <c:f>'Base de cálculo'!$D$2:$D$6</c:f>
              <c:numCache>
                <c:formatCode>General</c:formatCode>
                <c:ptCount val="5"/>
                <c:pt idx="0">
                  <c:v>1635</c:v>
                </c:pt>
                <c:pt idx="1">
                  <c:v>750</c:v>
                </c:pt>
                <c:pt idx="2">
                  <c:v>620</c:v>
                </c:pt>
                <c:pt idx="3">
                  <c:v>550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E-4975-8D1C-ADB8DDF3586F}"/>
            </c:ext>
          </c:extLst>
        </c:ser>
        <c:ser>
          <c:idx val="0"/>
          <c:order val="1"/>
          <c:tx>
            <c:v>Saídas</c:v>
          </c:tx>
          <c:spPr>
            <a:solidFill>
              <a:srgbClr val="B395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de cálculo'!$B$2:$B$6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Coxinha</c:v>
                </c:pt>
                <c:pt idx="4">
                  <c:v>Refrigerante</c:v>
                </c:pt>
              </c:strCache>
            </c:strRef>
          </c:cat>
          <c:val>
            <c:numRef>
              <c:f>'Base de cálculo'!$C$2:$C$6</c:f>
              <c:numCache>
                <c:formatCode>General</c:formatCode>
                <c:ptCount val="5"/>
                <c:pt idx="0">
                  <c:v>945</c:v>
                </c:pt>
                <c:pt idx="1">
                  <c:v>500</c:v>
                </c:pt>
                <c:pt idx="2">
                  <c:v>400</c:v>
                </c:pt>
                <c:pt idx="3">
                  <c:v>245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E-4975-8D1C-ADB8DDF358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95367167"/>
        <c:axId val="595363327"/>
      </c:barChart>
      <c:catAx>
        <c:axId val="59536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5363327"/>
        <c:crosses val="autoZero"/>
        <c:auto val="1"/>
        <c:lblAlgn val="ctr"/>
        <c:lblOffset val="100"/>
        <c:noMultiLvlLbl val="0"/>
      </c:catAx>
      <c:valAx>
        <c:axId val="595363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536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788207229491992"/>
          <c:y val="0.27630363023752841"/>
          <c:w val="0.27574664677706656"/>
          <c:h val="0.2648778512157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21268006939596E-2"/>
          <c:y val="7.953723788864786E-2"/>
          <c:w val="0.89419462600909072"/>
          <c:h val="0.58732186676231635"/>
        </c:manualLayout>
      </c:layout>
      <c:lineChart>
        <c:grouping val="standard"/>
        <c:varyColors val="0"/>
        <c:ser>
          <c:idx val="0"/>
          <c:order val="0"/>
          <c:tx>
            <c:strRef>
              <c:f>'Base de cálculo'!$H$2</c:f>
              <c:strCache>
                <c:ptCount val="1"/>
                <c:pt idx="0">
                  <c:v>Faturamento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numFmt formatCode="0.00,\ &quot;mil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de cálculo'!$G$3:$G$14</c:f>
              <c:numCache>
                <c:formatCode>mmm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'Base de cálculo'!$H$3:$H$14</c:f>
              <c:numCache>
                <c:formatCode>"R$"\ #,##0.00</c:formatCode>
                <c:ptCount val="12"/>
                <c:pt idx="0">
                  <c:v>1475</c:v>
                </c:pt>
                <c:pt idx="1">
                  <c:v>1652.5</c:v>
                </c:pt>
                <c:pt idx="2">
                  <c:v>2302.5</c:v>
                </c:pt>
                <c:pt idx="3">
                  <c:v>1507.5</c:v>
                </c:pt>
                <c:pt idx="4">
                  <c:v>1372</c:v>
                </c:pt>
                <c:pt idx="5">
                  <c:v>1145</c:v>
                </c:pt>
                <c:pt idx="6">
                  <c:v>2217.5</c:v>
                </c:pt>
                <c:pt idx="7">
                  <c:v>1621.5</c:v>
                </c:pt>
                <c:pt idx="8">
                  <c:v>2234</c:v>
                </c:pt>
                <c:pt idx="9">
                  <c:v>1508</c:v>
                </c:pt>
                <c:pt idx="10">
                  <c:v>811.5</c:v>
                </c:pt>
                <c:pt idx="11">
                  <c:v>1195.5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9-4412-8A46-9158030015AE}"/>
            </c:ext>
          </c:extLst>
        </c:ser>
        <c:ser>
          <c:idx val="1"/>
          <c:order val="1"/>
          <c:tx>
            <c:strRef>
              <c:f>'Base de cálculo'!$I$2</c:f>
              <c:strCache>
                <c:ptCount val="1"/>
                <c:pt idx="0">
                  <c:v>Despesas</c:v>
                </c:pt>
              </c:strCache>
            </c:strRef>
          </c:tx>
          <c:spPr>
            <a:ln w="38100" cap="rnd">
              <a:solidFill>
                <a:srgbClr val="B39563"/>
              </a:solidFill>
              <a:round/>
            </a:ln>
            <a:effectLst/>
          </c:spPr>
          <c:marker>
            <c:symbol val="x"/>
            <c:size val="5"/>
            <c:spPr>
              <a:solidFill>
                <a:srgbClr val="B39563"/>
              </a:solidFill>
              <a:ln w="38100">
                <a:solidFill>
                  <a:srgbClr val="B39563"/>
                </a:solidFill>
              </a:ln>
              <a:effectLst/>
            </c:spPr>
          </c:marker>
          <c:dLbls>
            <c:numFmt formatCode="0.00,\ &quot;mil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'Base de cálculo'!$G$3:$G$14</c:f>
              <c:numCache>
                <c:formatCode>mmm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'Base de cálculo'!$I$3:$I$14</c:f>
              <c:numCache>
                <c:formatCode>"R$"\ #,##0.00</c:formatCode>
                <c:ptCount val="12"/>
                <c:pt idx="0">
                  <c:v>297.5</c:v>
                </c:pt>
                <c:pt idx="1">
                  <c:v>378.75</c:v>
                </c:pt>
                <c:pt idx="2">
                  <c:v>922.5</c:v>
                </c:pt>
                <c:pt idx="3">
                  <c:v>362.5</c:v>
                </c:pt>
                <c:pt idx="4">
                  <c:v>723.75</c:v>
                </c:pt>
                <c:pt idx="5">
                  <c:v>376.25</c:v>
                </c:pt>
                <c:pt idx="6">
                  <c:v>355</c:v>
                </c:pt>
                <c:pt idx="7">
                  <c:v>431.25</c:v>
                </c:pt>
                <c:pt idx="8">
                  <c:v>806</c:v>
                </c:pt>
                <c:pt idx="9">
                  <c:v>247.75</c:v>
                </c:pt>
                <c:pt idx="10">
                  <c:v>218.75</c:v>
                </c:pt>
                <c:pt idx="11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9-4412-8A46-9158030015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7143871"/>
        <c:axId val="1187145311"/>
      </c:lineChart>
      <c:dateAx>
        <c:axId val="1187143871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145311"/>
        <c:crosses val="autoZero"/>
        <c:auto val="1"/>
        <c:lblOffset val="100"/>
        <c:baseTimeUnit val="months"/>
      </c:dateAx>
      <c:valAx>
        <c:axId val="1187145311"/>
        <c:scaling>
          <c:orientation val="minMax"/>
        </c:scaling>
        <c:delete val="0"/>
        <c:axPos val="l"/>
        <c:numFmt formatCode="&quot;R$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14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de cálculo'!$M$2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31382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cálculo'!$L$3:$L$14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cálculo'!$M$3:$M$14</c:f>
              <c:numCache>
                <c:formatCode>0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150</c:v>
                </c:pt>
                <c:pt idx="4">
                  <c:v>100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180</c:v>
                </c:pt>
                <c:pt idx="9">
                  <c:v>100</c:v>
                </c:pt>
                <c:pt idx="10">
                  <c:v>80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8-4890-8999-66349C19F1C2}"/>
            </c:ext>
          </c:extLst>
        </c:ser>
        <c:ser>
          <c:idx val="1"/>
          <c:order val="1"/>
          <c:tx>
            <c:strRef>
              <c:f>'Base de cálculo'!$N$2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B3956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cálculo'!$L$3:$L$14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cálculo'!$N$3:$N$14</c:f>
              <c:numCache>
                <c:formatCode>0</c:formatCode>
                <c:ptCount val="12"/>
                <c:pt idx="0">
                  <c:v>80</c:v>
                </c:pt>
                <c:pt idx="1">
                  <c:v>110</c:v>
                </c:pt>
                <c:pt idx="2">
                  <c:v>100</c:v>
                </c:pt>
                <c:pt idx="3">
                  <c:v>75</c:v>
                </c:pt>
                <c:pt idx="4">
                  <c:v>75</c:v>
                </c:pt>
                <c:pt idx="5">
                  <c:v>100</c:v>
                </c:pt>
                <c:pt idx="6">
                  <c:v>90</c:v>
                </c:pt>
                <c:pt idx="7">
                  <c:v>100</c:v>
                </c:pt>
                <c:pt idx="8">
                  <c:v>35</c:v>
                </c:pt>
                <c:pt idx="9">
                  <c:v>30</c:v>
                </c:pt>
                <c:pt idx="10">
                  <c:v>50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8-4890-8999-66349C19F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047199"/>
        <c:axId val="495041919"/>
      </c:barChart>
      <c:catAx>
        <c:axId val="495047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041919"/>
        <c:crosses val="autoZero"/>
        <c:auto val="1"/>
        <c:lblAlgn val="ctr"/>
        <c:lblOffset val="100"/>
        <c:noMultiLvlLbl val="0"/>
      </c:catAx>
      <c:valAx>
        <c:axId val="4950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04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B39563"/>
            </a:solidFill>
          </c:spPr>
          <c:dPt>
            <c:idx val="0"/>
            <c:bubble3D val="0"/>
            <c:spPr>
              <a:solidFill>
                <a:srgbClr val="B395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16-4B0B-9E17-066DA47E93CA}"/>
              </c:ext>
            </c:extLst>
          </c:dPt>
          <c:dPt>
            <c:idx val="1"/>
            <c:bubble3D val="0"/>
            <c:spPr>
              <a:solidFill>
                <a:srgbClr val="3138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16-4B0B-9E17-066DA47E93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'Base de cálculo'!$P$2:$P$3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'Base de cálculo'!$Q$2:$Q$3</c:f>
              <c:numCache>
                <c:formatCode>0</c:formatCode>
                <c:ptCount val="2"/>
                <c:pt idx="0">
                  <c:v>1635</c:v>
                </c:pt>
                <c:pt idx="1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16-4B0B-9E17-066DA47E93C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1094510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2</xdr:col>
      <xdr:colOff>983674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23553</xdr:colOff>
      <xdr:row>0</xdr:row>
      <xdr:rowOff>76199</xdr:rowOff>
    </xdr:from>
    <xdr:to>
      <xdr:col>3</xdr:col>
      <xdr:colOff>930582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15933</xdr:colOff>
      <xdr:row>0</xdr:row>
      <xdr:rowOff>76199</xdr:rowOff>
    </xdr:from>
    <xdr:to>
      <xdr:col>3</xdr:col>
      <xdr:colOff>909900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693</xdr:colOff>
      <xdr:row>0</xdr:row>
      <xdr:rowOff>76199</xdr:rowOff>
    </xdr:from>
    <xdr:to>
      <xdr:col>5</xdr:col>
      <xdr:colOff>372689</xdr:colOff>
      <xdr:row>0</xdr:row>
      <xdr:rowOff>637309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4A4C03-ADA0-4574-85F8-78F72B92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23553</xdr:colOff>
      <xdr:row>0</xdr:row>
      <xdr:rowOff>76199</xdr:rowOff>
    </xdr:from>
    <xdr:to>
      <xdr:col>3</xdr:col>
      <xdr:colOff>45029</xdr:colOff>
      <xdr:row>0</xdr:row>
      <xdr:rowOff>637309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B480CB-C864-4D0A-8790-49E349F1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5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0</xdr:row>
      <xdr:rowOff>60960</xdr:rowOff>
    </xdr:from>
    <xdr:to>
      <xdr:col>15</xdr:col>
      <xdr:colOff>67196</xdr:colOff>
      <xdr:row>0</xdr:row>
      <xdr:rowOff>622070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AF63C5-019A-43E3-B90C-29B774B6E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60960"/>
          <a:ext cx="2216036" cy="5611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59167</xdr:colOff>
      <xdr:row>5</xdr:row>
      <xdr:rowOff>21066</xdr:rowOff>
    </xdr:from>
    <xdr:to>
      <xdr:col>31</xdr:col>
      <xdr:colOff>892</xdr:colOff>
      <xdr:row>5</xdr:row>
      <xdr:rowOff>21066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2C68D8B-FC6B-4889-8500-246D0F124237}"/>
            </a:ext>
            <a:ext uri="{147F2762-F138-4A5C-976F-8EAC2B608ADB}">
              <a16:predDERef xmlns:a16="http://schemas.microsoft.com/office/drawing/2014/main" pred="{1F36D36E-57C6-45FA-9E9A-4EF9D0FC68A8}"/>
            </a:ext>
          </a:extLst>
        </xdr:cNvPr>
        <xdr:cNvCxnSpPr/>
      </xdr:nvCxnSpPr>
      <xdr:spPr>
        <a:xfrm>
          <a:off x="59167" y="592566"/>
          <a:ext cx="4429905" cy="0"/>
        </a:xfrm>
        <a:prstGeom prst="line">
          <a:avLst/>
        </a:prstGeom>
        <a:ln w="19050">
          <a:solidFill>
            <a:srgbClr val="775A4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15240</xdr:colOff>
      <xdr:row>0</xdr:row>
      <xdr:rowOff>30480</xdr:rowOff>
    </xdr:from>
    <xdr:to>
      <xdr:col>29</xdr:col>
      <xdr:colOff>83820</xdr:colOff>
      <xdr:row>4</xdr:row>
      <xdr:rowOff>114299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4E050CF-13DE-4047-8AAB-8FF225BB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0480"/>
          <a:ext cx="1950720" cy="541019"/>
        </a:xfrm>
        <a:prstGeom prst="rect">
          <a:avLst/>
        </a:prstGeom>
      </xdr:spPr>
    </xdr:pic>
    <xdr:clientData/>
  </xdr:twoCellAnchor>
  <xdr:twoCellAnchor>
    <xdr:from>
      <xdr:col>2</xdr:col>
      <xdr:colOff>55517</xdr:colOff>
      <xdr:row>9</xdr:row>
      <xdr:rowOff>29936</xdr:rowOff>
    </xdr:from>
    <xdr:to>
      <xdr:col>24</xdr:col>
      <xdr:colOff>119743</xdr:colOff>
      <xdr:row>26</xdr:row>
      <xdr:rowOff>97972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D0C795-FD73-4948-DC5A-93F9378D4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21771</xdr:colOff>
      <xdr:row>10</xdr:row>
      <xdr:rowOff>17961</xdr:rowOff>
    </xdr:from>
    <xdr:to>
      <xdr:col>83</xdr:col>
      <xdr:colOff>87085</xdr:colOff>
      <xdr:row>24</xdr:row>
      <xdr:rowOff>97971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4C804B6C-5F4E-2388-F62A-90AA8553C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31326</xdr:colOff>
      <xdr:row>31</xdr:row>
      <xdr:rowOff>19897</xdr:rowOff>
    </xdr:from>
    <xdr:to>
      <xdr:col>65</xdr:col>
      <xdr:colOff>118532</xdr:colOff>
      <xdr:row>44</xdr:row>
      <xdr:rowOff>93133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9F8D60CD-E3FF-EF08-692B-1B9B34137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33866</xdr:colOff>
      <xdr:row>29</xdr:row>
      <xdr:rowOff>25401</xdr:rowOff>
    </xdr:from>
    <xdr:to>
      <xdr:col>83</xdr:col>
      <xdr:colOff>110065</xdr:colOff>
      <xdr:row>44</xdr:row>
      <xdr:rowOff>84667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5462DFC1-431C-486A-8100-A682BC595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F31" totalsRowShown="0" headerRowDxfId="40" dataDxfId="39">
  <autoFilter ref="B4:F31" xr:uid="{BF78AD2E-2996-4673-93A5-FBABBADBFCAD}"/>
  <tableColumns count="5">
    <tableColumn id="1" xr3:uid="{377E90C8-0A45-4737-AC04-4C7CDB0AEAE2}" name="Produto" dataDxfId="38"/>
    <tableColumn id="2" xr3:uid="{4EB804C9-8A27-4783-BD36-FB9E656AE6E9}" name="Unidade de Medida" dataDxfId="37"/>
    <tableColumn id="3" xr3:uid="{A21D3E1F-EEC0-4E4A-BE5D-F1FC07B6F8D6}" name="Estoque Mínimo" dataDxfId="36"/>
    <tableColumn id="4" xr3:uid="{56ACBABD-1CFA-40E7-BC2B-DBA4120CD2CF}" name="Custo Unitário" dataDxfId="35" dataCellStyle="Moeda"/>
    <tableColumn id="5" xr3:uid="{96CD541B-A2C4-4577-95D7-DC8135FFC00B}" name="Preço Unitário" dataDxfId="34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E9" totalsRowShown="0" headerRowDxfId="33" dataDxfId="32">
  <autoFilter ref="B5:E9" xr:uid="{3FE8CB29-2D3F-4475-8076-85314FAA5C42}"/>
  <tableColumns count="4">
    <tableColumn id="1" xr3:uid="{5957F8AA-CE75-4BE8-A28F-E63751C6F321}" name="Empresa" dataDxfId="31"/>
    <tableColumn id="2" xr3:uid="{714E240A-6400-4353-BAFA-98056A75BEB8}" name="Telefone" dataDxfId="30"/>
    <tableColumn id="3" xr3:uid="{83F2A368-4F63-4459-A8E0-C24478833107}" name="Responsável" dataDxfId="29"/>
    <tableColumn id="4" xr3:uid="{B26AA4D1-77D3-4E4E-8E26-1DD67159E60C}" name="E-mail" dataDxfId="28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H59" totalsRowShown="0" headerRowDxfId="27" dataDxfId="26">
  <autoFilter ref="B5:H59" xr:uid="{96889516-6D39-4469-A223-4B0F7168EF79}"/>
  <tableColumns count="7">
    <tableColumn id="7" xr3:uid="{4AF3EAC0-F872-46A1-9540-C49902B0DCA4}" name="Mês" dataDxfId="25">
      <calculatedColumnFormula>MONTH(TB_Entradas[[#This Row],[Data]])</calculatedColumnFormula>
    </tableColumn>
    <tableColumn id="1" xr3:uid="{701AD28A-1CD8-44C9-BCEB-958AEB0E91DD}" name="Data" dataDxfId="24"/>
    <tableColumn id="2" xr3:uid="{F247CE0B-0EF4-4B75-A4B5-2205D8CF8B59}" name="Produto" dataDxfId="23"/>
    <tableColumn id="3" xr3:uid="{1A5D1499-6E9D-496F-95A9-F290D6FBA0EA}" name="Fornecedor" dataDxfId="22"/>
    <tableColumn id="4" xr3:uid="{8E9FF413-1C84-4664-AA13-4DDF2E3D7D9D}" name="Quantidade Comprada" dataDxfId="21" dataCellStyle="Moeda"/>
    <tableColumn id="5" xr3:uid="{A02F7FDA-CBAC-4B18-A2AB-0654AA440E5C}" name="Custo Unitário" dataDxfId="20">
      <calculatedColumnFormula array="1">_xlfn.XLOOKUP(TB_Entradas[[#This Row],[Produto]],TB_Produtos[[#All],[Produto]],TB_Produtos[[#All],[Custo Unitário]],"Produto não Encontrado",0,1)</calculatedColumnFormula>
    </tableColumn>
    <tableColumn id="6" xr3:uid="{C58A77A0-4427-4854-BE4E-4859DEF6E459}" name="Valor da Compra" dataDxfId="19">
      <calculatedColumnFormula>IFERROR(TB_Entradas[[#This Row],[Quantidade Comprada]]*TB_Entradas[[#This Row],[Custo Unitário]],"Erro ao calcular")</calculatedColumnFormula>
    </tableColumn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G62" totalsRowShown="0" headerRowDxfId="18" dataDxfId="17">
  <autoFilter ref="B5:G62" xr:uid="{586A585A-A0FE-42A4-967D-5B04DAD1156E}"/>
  <tableColumns count="6">
    <tableColumn id="7" xr3:uid="{1596BF95-EC92-45A1-A4DC-822BF85970E2}" name="Mês" dataDxfId="16">
      <calculatedColumnFormula>MONTH(TB_Saídas[[#This Row],[Data]])</calculatedColumnFormula>
    </tableColumn>
    <tableColumn id="1" xr3:uid="{B4F598A6-4052-4062-950B-44B21BB57036}" name="Data" dataDxfId="15"/>
    <tableColumn id="2" xr3:uid="{370468ED-B740-49DE-AB89-5354284A2ABF}" name="Produto" dataDxfId="14"/>
    <tableColumn id="3" xr3:uid="{BE1ABBF0-3358-4840-B3C0-322DEDC290E1}" name="Quantidade Vendida" dataDxfId="13"/>
    <tableColumn id="4" xr3:uid="{561D4B7F-EDFE-4DF1-8FB5-D94F09D99A20}" name="Preço Unitário" dataDxfId="12" data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11">
      <calculatedColumnFormula>IFERROR(TB_Saídas[[#This Row],[Quantidade Vendida]]*TB_Saídas[[#This Row],[Preço Unitário]],"Não foi possível calcular")</calculatedColumnFormula>
    </tableColumn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EF29C-00D0-4030-B676-536CD20FE6BA}" name="TB_ControleEstoque" displayName="TB_ControleEstoque" ref="B5:J15" totalsRowShown="0" headerRowDxfId="10">
  <autoFilter ref="B5:J15" xr:uid="{347EF29C-00D0-4030-B676-536CD20FE6BA}"/>
  <tableColumns count="9">
    <tableColumn id="1" xr3:uid="{78F980A1-14CD-4F6E-AB99-C4BA00BC2581}" name="Produto"/>
    <tableColumn id="2" xr3:uid="{9FA7D6B5-DE47-4204-B1E9-DAFE01D4EAF5}" name="Entradas" dataDxfId="9">
      <calculatedColumnFormula>IFERROR(SUMIF(TB_Entradas[Produto],TB_ControleEstoque[[#This Row],[Produto]],TB_Entradas[Quantidade Comprada]),0)</calculatedColumnFormula>
    </tableColumn>
    <tableColumn id="3" xr3:uid="{04DB3B99-65C1-4C73-B7D8-37E1EF01C436}" name="Saídas " dataDxfId="8">
      <calculatedColumnFormula>IFERROR(SUMIF(TB_Saídas[Produto],TB_ControleEstoque[[#This Row],[Produto]],TB_Saídas[Quantidade Vendida]),0)</calculatedColumnFormula>
    </tableColumn>
    <tableColumn id="4" xr3:uid="{B85F1C2D-6598-4EDB-AA8B-8C804F21F72A}" name="Saldo em Estoque" dataDxfId="7">
      <calculatedColumnFormula>TB_ControleEstoque[[#This Row],[Entradas]]-TB_ControleEstoque[[#This Row],[Saídas ]]</calculatedColumnFormula>
    </tableColumn>
    <tableColumn id="5" xr3:uid="{758D7A90-134E-40AE-9F13-5CDB85014396}" name="Estoque Mínimo" dataDxfId="6">
      <calculatedColumnFormula>_xlfn.XLOOKUP(TB_ControleEstoque[[#This Row],[Produto]],TB_Produtos[Produto],TB_Produtos[Estoque Mínimo],"Erro",0,1)</calculatedColumnFormula>
    </tableColumn>
    <tableColumn id="6" xr3:uid="{4FAD9CB5-0E7D-4896-A58D-3F8ECEA4574F}" name="Status do Estoque" dataDxfId="5">
      <calculatedColumnFormula array="1">_xlfn.IFS(TB_ControleEstoque[[#This Row],[Saldo em Estoque]]&gt;TB_ControleEstoque[[#This Row],[Estoque Mínimo]],"Estoque OK",TB_ControleEstoque[[#This Row],[Saldo em Estoque]]=0,"Estoque Zerado",1,"Repor Estoque")</calculatedColumnFormula>
    </tableColumn>
    <tableColumn id="7" xr3:uid="{0A19DE5A-1DA5-4990-856A-1447B740447E}" name="Valor de Venda" dataDxfId="4">
      <calculatedColumnFormula>SUMIFS(TB_Saídas[Valor de Venda],TB_Saídas[Produto],TB_ControleEstoque[[#This Row],[Produto]])</calculatedColumnFormula>
    </tableColumn>
    <tableColumn id="8" xr3:uid="{DB00E371-8CEA-4DB3-9B0C-5445F8370CE3}" name="Custo Total" dataDxfId="3">
      <calculatedColumnFormula>SUMIFS(TB_Entradas[Valor da Compra],TB_Entradas[Produto],TB_ControleEstoque[[#This Row],[Produto]])</calculatedColumnFormula>
    </tableColumn>
    <tableColumn id="9" xr3:uid="{15E00F21-6DB5-437E-ABC8-BDF107CA8A75}" name="Lucro" dataDxfId="2">
      <calculatedColumnFormula>TB_ControleEstoque[[#This Row],[Valor de Venda]]-TB_ControleEstoque[[#This Row],[Custo Total]]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mailto:claudia@salgadosgran.com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I31"/>
  <sheetViews>
    <sheetView showGridLines="0" topLeftCell="A12" zoomScale="140" zoomScaleNormal="140" workbookViewId="0">
      <selection activeCell="A15" sqref="A15"/>
    </sheetView>
  </sheetViews>
  <sheetFormatPr defaultColWidth="9.109375" defaultRowHeight="14.4" x14ac:dyDescent="0.3"/>
  <cols>
    <col min="1" max="1" width="5.33203125" customWidth="1"/>
    <col min="2" max="2" width="16.33203125" bestFit="1" customWidth="1"/>
    <col min="3" max="3" width="22.5546875" bestFit="1" customWidth="1"/>
    <col min="4" max="4" width="19.6640625" bestFit="1" customWidth="1"/>
    <col min="5" max="5" width="18.44140625" customWidth="1"/>
    <col min="6" max="6" width="20.44140625" style="1" customWidth="1"/>
    <col min="8" max="8" width="13.5546875" customWidth="1"/>
    <col min="9" max="9" width="15.33203125" customWidth="1"/>
  </cols>
  <sheetData>
    <row r="1" spans="2:9" s="29" customFormat="1" ht="60" customHeight="1" x14ac:dyDescent="0.3">
      <c r="E1" s="39" t="s">
        <v>0</v>
      </c>
      <c r="F1" s="40"/>
    </row>
    <row r="2" spans="2:9" s="34" customFormat="1" ht="6" customHeight="1" x14ac:dyDescent="0.3">
      <c r="F2" s="35"/>
    </row>
    <row r="4" spans="2:9" x14ac:dyDescent="0.3">
      <c r="B4" s="49" t="s">
        <v>1</v>
      </c>
      <c r="C4" s="49" t="s">
        <v>2</v>
      </c>
      <c r="D4" s="49" t="s">
        <v>3</v>
      </c>
      <c r="E4" s="49" t="s">
        <v>4</v>
      </c>
      <c r="F4" s="49" t="s">
        <v>5</v>
      </c>
    </row>
    <row r="5" spans="2:9" ht="16.2" x14ac:dyDescent="0.35">
      <c r="B5" s="36" t="s">
        <v>6</v>
      </c>
      <c r="C5" s="37" t="s">
        <v>7</v>
      </c>
      <c r="D5" s="37">
        <v>50</v>
      </c>
      <c r="E5" s="38">
        <v>2</v>
      </c>
      <c r="F5" s="38">
        <v>6</v>
      </c>
      <c r="G5" s="3"/>
      <c r="H5" s="3"/>
    </row>
    <row r="6" spans="2:9" ht="16.2" x14ac:dyDescent="0.35">
      <c r="B6" s="36" t="s">
        <v>8</v>
      </c>
      <c r="C6" s="37" t="s">
        <v>9</v>
      </c>
      <c r="D6" s="37">
        <v>5</v>
      </c>
      <c r="E6" s="38">
        <v>1.5</v>
      </c>
      <c r="F6" s="38">
        <v>3</v>
      </c>
      <c r="H6" s="3"/>
    </row>
    <row r="7" spans="2:9" ht="16.2" x14ac:dyDescent="0.35">
      <c r="B7" s="36" t="s">
        <v>10</v>
      </c>
      <c r="C7" s="37" t="s">
        <v>9</v>
      </c>
      <c r="D7" s="37">
        <v>50</v>
      </c>
      <c r="E7" s="38">
        <v>0.5</v>
      </c>
      <c r="F7" s="38">
        <v>6.5</v>
      </c>
      <c r="H7" s="3"/>
    </row>
    <row r="8" spans="2:9" ht="16.2" x14ac:dyDescent="0.35">
      <c r="B8" s="36" t="s">
        <v>11</v>
      </c>
      <c r="C8" s="37" t="s">
        <v>9</v>
      </c>
      <c r="D8" s="37">
        <v>50</v>
      </c>
      <c r="E8" s="38">
        <v>1</v>
      </c>
      <c r="F8" s="38">
        <v>4.5</v>
      </c>
      <c r="H8" s="3"/>
    </row>
    <row r="9" spans="2:9" ht="16.2" x14ac:dyDescent="0.35">
      <c r="B9" s="36" t="s">
        <v>12</v>
      </c>
      <c r="C9" s="37" t="s">
        <v>9</v>
      </c>
      <c r="D9" s="37">
        <v>50</v>
      </c>
      <c r="E9" s="38">
        <v>1</v>
      </c>
      <c r="F9" s="38">
        <v>4</v>
      </c>
      <c r="H9" s="3"/>
      <c r="I9" s="10"/>
    </row>
    <row r="10" spans="2:9" ht="16.2" x14ac:dyDescent="0.35">
      <c r="B10" s="36" t="s">
        <v>13</v>
      </c>
      <c r="C10" s="37" t="s">
        <v>9</v>
      </c>
      <c r="D10" s="37">
        <v>50</v>
      </c>
      <c r="E10" s="38">
        <v>1</v>
      </c>
      <c r="F10" s="38">
        <v>4</v>
      </c>
    </row>
    <row r="11" spans="2:9" ht="16.2" x14ac:dyDescent="0.35">
      <c r="B11" s="36" t="s">
        <v>14</v>
      </c>
      <c r="C11" s="37" t="s">
        <v>9</v>
      </c>
      <c r="D11" s="37">
        <v>50</v>
      </c>
      <c r="E11" s="38">
        <v>0.5</v>
      </c>
      <c r="F11" s="38">
        <v>4</v>
      </c>
    </row>
    <row r="12" spans="2:9" ht="16.2" x14ac:dyDescent="0.35">
      <c r="B12" s="36" t="s">
        <v>15</v>
      </c>
      <c r="C12" s="37" t="s">
        <v>16</v>
      </c>
      <c r="D12" s="37">
        <v>15</v>
      </c>
      <c r="E12" s="38">
        <v>0.5</v>
      </c>
      <c r="F12" s="38">
        <v>2</v>
      </c>
    </row>
    <row r="13" spans="2:9" ht="16.2" x14ac:dyDescent="0.35">
      <c r="B13" s="36" t="s">
        <v>17</v>
      </c>
      <c r="C13" s="37" t="s">
        <v>16</v>
      </c>
      <c r="D13" s="37">
        <v>15</v>
      </c>
      <c r="E13" s="38">
        <v>0.25</v>
      </c>
      <c r="F13" s="38">
        <v>1</v>
      </c>
    </row>
    <row r="14" spans="2:9" ht="16.2" x14ac:dyDescent="0.35">
      <c r="B14" s="36" t="s">
        <v>18</v>
      </c>
      <c r="C14" s="37" t="s">
        <v>16</v>
      </c>
      <c r="D14" s="37">
        <v>15</v>
      </c>
      <c r="E14" s="38">
        <v>0.25</v>
      </c>
      <c r="F14" s="38">
        <v>1</v>
      </c>
    </row>
    <row r="15" spans="2:9" ht="16.2" x14ac:dyDescent="0.35">
      <c r="B15" s="36" t="s">
        <v>19</v>
      </c>
      <c r="C15" s="37" t="s">
        <v>20</v>
      </c>
      <c r="D15" s="37">
        <v>10</v>
      </c>
      <c r="E15" s="38">
        <v>0.25</v>
      </c>
      <c r="F15" s="38">
        <v>8.5</v>
      </c>
    </row>
    <row r="16" spans="2:9" ht="16.2" x14ac:dyDescent="0.35">
      <c r="B16" s="36" t="s">
        <v>21</v>
      </c>
      <c r="C16" s="37" t="s">
        <v>20</v>
      </c>
      <c r="D16" s="37">
        <v>12</v>
      </c>
      <c r="E16" s="38">
        <v>10</v>
      </c>
      <c r="F16" s="38">
        <v>5</v>
      </c>
    </row>
    <row r="17" spans="2:6" ht="16.2" x14ac:dyDescent="0.35">
      <c r="B17" s="36" t="s">
        <v>22</v>
      </c>
      <c r="C17" s="37" t="s">
        <v>9</v>
      </c>
      <c r="D17" s="37">
        <v>4</v>
      </c>
      <c r="E17" s="38">
        <v>2</v>
      </c>
      <c r="F17" s="38">
        <v>2</v>
      </c>
    </row>
    <row r="18" spans="2:6" ht="16.2" x14ac:dyDescent="0.35">
      <c r="B18" s="36" t="s">
        <v>23</v>
      </c>
      <c r="C18" s="37" t="s">
        <v>16</v>
      </c>
      <c r="D18" s="37">
        <v>10</v>
      </c>
      <c r="E18" s="38">
        <v>1</v>
      </c>
      <c r="F18" s="38">
        <v>5</v>
      </c>
    </row>
    <row r="19" spans="2:6" ht="16.2" x14ac:dyDescent="0.35">
      <c r="B19" s="36" t="s">
        <v>24</v>
      </c>
      <c r="C19" s="37" t="s">
        <v>16</v>
      </c>
      <c r="D19" s="37">
        <v>2</v>
      </c>
      <c r="E19" s="38">
        <v>0.75</v>
      </c>
      <c r="F19" s="38">
        <v>1.5</v>
      </c>
    </row>
    <row r="20" spans="2:6" ht="16.2" x14ac:dyDescent="0.35">
      <c r="B20" s="36" t="s">
        <v>25</v>
      </c>
      <c r="C20" s="37" t="s">
        <v>9</v>
      </c>
      <c r="D20" s="37">
        <v>10</v>
      </c>
      <c r="E20" s="38">
        <v>0.25</v>
      </c>
      <c r="F20" s="38">
        <v>7.5</v>
      </c>
    </row>
    <row r="21" spans="2:6" ht="16.2" x14ac:dyDescent="0.35">
      <c r="B21" s="36" t="s">
        <v>26</v>
      </c>
      <c r="C21" s="37" t="s">
        <v>16</v>
      </c>
      <c r="D21" s="37">
        <v>5</v>
      </c>
      <c r="E21" s="38">
        <v>0.75</v>
      </c>
      <c r="F21" s="38">
        <v>10</v>
      </c>
    </row>
    <row r="22" spans="2:6" ht="16.2" x14ac:dyDescent="0.35">
      <c r="B22" s="36" t="s">
        <v>27</v>
      </c>
      <c r="C22" s="37" t="s">
        <v>9</v>
      </c>
      <c r="D22" s="37">
        <v>2</v>
      </c>
      <c r="E22" s="38">
        <v>8</v>
      </c>
      <c r="F22" s="38">
        <v>15</v>
      </c>
    </row>
    <row r="23" spans="2:6" ht="16.2" x14ac:dyDescent="0.35">
      <c r="B23" s="36" t="s">
        <v>28</v>
      </c>
      <c r="C23" s="37" t="s">
        <v>9</v>
      </c>
      <c r="D23" s="37">
        <v>2</v>
      </c>
      <c r="E23" s="38">
        <v>4.5</v>
      </c>
      <c r="F23" s="38">
        <v>15</v>
      </c>
    </row>
    <row r="24" spans="2:6" ht="16.2" x14ac:dyDescent="0.35">
      <c r="B24" s="36" t="s">
        <v>29</v>
      </c>
      <c r="C24" s="37" t="s">
        <v>30</v>
      </c>
      <c r="D24" s="37">
        <v>5</v>
      </c>
      <c r="E24" s="38">
        <v>0.25</v>
      </c>
      <c r="F24" s="38">
        <v>2</v>
      </c>
    </row>
    <row r="25" spans="2:6" ht="16.2" x14ac:dyDescent="0.35">
      <c r="B25" s="36" t="s">
        <v>31</v>
      </c>
      <c r="C25" s="37" t="s">
        <v>30</v>
      </c>
      <c r="D25" s="37">
        <v>5</v>
      </c>
      <c r="E25" s="38">
        <v>0.75</v>
      </c>
      <c r="F25" s="38">
        <v>8</v>
      </c>
    </row>
    <row r="26" spans="2:6" ht="16.2" x14ac:dyDescent="0.35">
      <c r="B26" s="36" t="s">
        <v>32</v>
      </c>
      <c r="C26" s="37" t="s">
        <v>9</v>
      </c>
      <c r="D26" s="37">
        <v>2</v>
      </c>
      <c r="E26" s="38">
        <v>1</v>
      </c>
      <c r="F26" s="38">
        <v>3</v>
      </c>
    </row>
    <row r="27" spans="2:6" ht="16.2" x14ac:dyDescent="0.35">
      <c r="B27" s="36" t="s">
        <v>33</v>
      </c>
      <c r="C27" s="37" t="s">
        <v>9</v>
      </c>
      <c r="D27" s="37">
        <v>2</v>
      </c>
      <c r="E27" s="38">
        <v>2.5</v>
      </c>
      <c r="F27" s="38">
        <v>3.5</v>
      </c>
    </row>
    <row r="28" spans="2:6" ht="16.2" x14ac:dyDescent="0.35">
      <c r="B28" s="36" t="s">
        <v>34</v>
      </c>
      <c r="C28" s="37" t="s">
        <v>9</v>
      </c>
      <c r="D28" s="37">
        <v>2</v>
      </c>
      <c r="E28" s="38">
        <v>1.5</v>
      </c>
      <c r="F28" s="38">
        <v>3</v>
      </c>
    </row>
    <row r="29" spans="2:6" ht="16.2" x14ac:dyDescent="0.35">
      <c r="B29" s="36" t="s">
        <v>35</v>
      </c>
      <c r="C29" s="37" t="s">
        <v>9</v>
      </c>
      <c r="D29" s="37">
        <v>2</v>
      </c>
      <c r="E29" s="38">
        <v>3</v>
      </c>
      <c r="F29" s="38">
        <v>4.5</v>
      </c>
    </row>
    <row r="30" spans="2:6" ht="16.2" x14ac:dyDescent="0.35">
      <c r="B30" s="36" t="s">
        <v>36</v>
      </c>
      <c r="C30" s="37" t="s">
        <v>16</v>
      </c>
      <c r="D30" s="37">
        <v>10</v>
      </c>
      <c r="E30" s="38">
        <v>2</v>
      </c>
      <c r="F30" s="38">
        <v>8</v>
      </c>
    </row>
    <row r="31" spans="2:6" ht="16.2" x14ac:dyDescent="0.35">
      <c r="B31" s="36" t="s">
        <v>37</v>
      </c>
      <c r="C31" s="37" t="s">
        <v>9</v>
      </c>
      <c r="D31" s="37">
        <v>10</v>
      </c>
      <c r="E31" s="38">
        <v>0.25</v>
      </c>
      <c r="F31" s="38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B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H9"/>
  <sheetViews>
    <sheetView showGridLines="0" zoomScale="160" zoomScaleNormal="160" workbookViewId="0">
      <selection activeCell="G7" sqref="G7"/>
    </sheetView>
  </sheetViews>
  <sheetFormatPr defaultColWidth="9.109375" defaultRowHeight="14.4" x14ac:dyDescent="0.3"/>
  <cols>
    <col min="1" max="1" width="5.33203125" customWidth="1"/>
    <col min="2" max="2" width="17.88671875" customWidth="1"/>
    <col min="3" max="3" width="16.88671875" bestFit="1" customWidth="1"/>
    <col min="4" max="4" width="14.33203125" bestFit="1" customWidth="1"/>
    <col min="5" max="5" width="31.88671875" customWidth="1"/>
  </cols>
  <sheetData>
    <row r="1" spans="2:8" s="29" customFormat="1" ht="60" customHeight="1" x14ac:dyDescent="0.3">
      <c r="E1" s="39" t="s">
        <v>38</v>
      </c>
      <c r="F1" s="30"/>
    </row>
    <row r="2" spans="2:8" s="34" customFormat="1" ht="6" customHeight="1" x14ac:dyDescent="0.3">
      <c r="F2" s="35"/>
    </row>
    <row r="5" spans="2:8" x14ac:dyDescent="0.3">
      <c r="B5" s="49" t="s">
        <v>39</v>
      </c>
      <c r="C5" s="49" t="s">
        <v>40</v>
      </c>
      <c r="D5" s="49" t="s">
        <v>41</v>
      </c>
      <c r="E5" s="49" t="s">
        <v>42</v>
      </c>
    </row>
    <row r="6" spans="2:8" ht="16.2" x14ac:dyDescent="0.35">
      <c r="B6" s="36" t="s">
        <v>43</v>
      </c>
      <c r="C6" s="37" t="s">
        <v>44</v>
      </c>
      <c r="D6" s="37" t="s">
        <v>45</v>
      </c>
      <c r="E6" s="38" t="s">
        <v>46</v>
      </c>
    </row>
    <row r="7" spans="2:8" ht="16.2" x14ac:dyDescent="0.35">
      <c r="B7" s="36" t="s">
        <v>47</v>
      </c>
      <c r="C7" s="37" t="s">
        <v>48</v>
      </c>
      <c r="D7" s="37" t="s">
        <v>49</v>
      </c>
      <c r="E7" s="38" t="s">
        <v>50</v>
      </c>
    </row>
    <row r="8" spans="2:8" ht="16.2" x14ac:dyDescent="0.35">
      <c r="B8" s="36" t="s">
        <v>51</v>
      </c>
      <c r="C8" s="37" t="s">
        <v>52</v>
      </c>
      <c r="D8" s="37" t="s">
        <v>53</v>
      </c>
      <c r="E8" s="38" t="s">
        <v>54</v>
      </c>
      <c r="H8" t="s">
        <v>55</v>
      </c>
    </row>
    <row r="9" spans="2:8" ht="16.2" x14ac:dyDescent="0.35">
      <c r="B9" s="36" t="s">
        <v>56</v>
      </c>
      <c r="C9" s="37" t="s">
        <v>57</v>
      </c>
      <c r="D9" s="37" t="s">
        <v>58</v>
      </c>
      <c r="E9" s="38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B9" xr:uid="{CB0A8FAC-1E94-4C7B-B66C-BC840809AA8D}">
      <formula1>COUNTIF(Lista_Fornecedores,B6)&lt;=1</formula1>
    </dataValidation>
  </dataValidations>
  <hyperlinks>
    <hyperlink ref="E6" r:id="rId1" display="mailto:maria@mercadoexpress.com.br" xr:uid="{BFA96C7E-CFA4-43C1-BA94-93E939CAF61B}"/>
    <hyperlink ref="E7" r:id="rId2" xr:uid="{B2F5BAB3-8645-48D1-8743-F6B02EAFE6F1}"/>
    <hyperlink ref="E8" r:id="rId3" display="mailto:eduardo@distribuídoraks.com.br" xr:uid="{1E6B527E-51F9-4124-9C35-5E328A13FBAD}"/>
    <hyperlink ref="E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H59"/>
  <sheetViews>
    <sheetView showGridLines="0" zoomScale="140" zoomScaleNormal="140" workbookViewId="0">
      <selection activeCell="B6" sqref="B6"/>
    </sheetView>
  </sheetViews>
  <sheetFormatPr defaultColWidth="9.109375" defaultRowHeight="14.4" x14ac:dyDescent="0.3"/>
  <cols>
    <col min="1" max="1" width="5.33203125" customWidth="1"/>
    <col min="2" max="2" width="7.21875" bestFit="1" customWidth="1"/>
    <col min="3" max="3" width="11.6640625" bestFit="1" customWidth="1"/>
    <col min="4" max="4" width="16.77734375" style="2" bestFit="1" customWidth="1"/>
    <col min="5" max="5" width="16.33203125" style="2" bestFit="1" customWidth="1"/>
    <col min="6" max="6" width="44.44140625" bestFit="1" customWidth="1"/>
    <col min="7" max="7" width="15.33203125" style="2" bestFit="1" customWidth="1"/>
    <col min="8" max="8" width="17.44140625" customWidth="1"/>
    <col min="9" max="9" width="18.44140625" customWidth="1"/>
  </cols>
  <sheetData>
    <row r="1" spans="2:8" s="29" customFormat="1" ht="60" customHeight="1" x14ac:dyDescent="0.3">
      <c r="F1" s="39" t="s">
        <v>60</v>
      </c>
      <c r="G1" s="30"/>
    </row>
    <row r="2" spans="2:8" s="34" customFormat="1" ht="6" customHeight="1" x14ac:dyDescent="0.3">
      <c r="G2" s="35"/>
    </row>
    <row r="4" spans="2:8" x14ac:dyDescent="0.3">
      <c r="D4"/>
    </row>
    <row r="5" spans="2:8" s="4" customFormat="1" x14ac:dyDescent="0.3">
      <c r="B5" s="86" t="s">
        <v>111</v>
      </c>
      <c r="C5" s="50" t="s">
        <v>61</v>
      </c>
      <c r="D5" s="50" t="s">
        <v>1</v>
      </c>
      <c r="E5" s="50" t="s">
        <v>62</v>
      </c>
      <c r="F5" s="50" t="s">
        <v>63</v>
      </c>
      <c r="G5" s="51" t="s">
        <v>4</v>
      </c>
      <c r="H5" s="51" t="s">
        <v>64</v>
      </c>
    </row>
    <row r="6" spans="2:8" ht="16.2" x14ac:dyDescent="0.35">
      <c r="B6" s="52">
        <f>MONTH(TB_Entradas[[#This Row],[Data]])</f>
        <v>1</v>
      </c>
      <c r="C6" s="47">
        <v>44566</v>
      </c>
      <c r="D6" s="44" t="s">
        <v>6</v>
      </c>
      <c r="E6" s="37" t="s">
        <v>43</v>
      </c>
      <c r="F6" s="45">
        <v>100</v>
      </c>
      <c r="G6" s="46" cm="1">
        <f t="array" ref="G6">_xlfn.XLOOKUP(TB_Entradas[[#This Row],[Produto]],TB_Produtos[[#All],[Produto]],TB_Produtos[[#All],[Custo Unitário]],"Produto não Encontrado",0,1)</f>
        <v>2</v>
      </c>
      <c r="H6" s="46">
        <f>IFERROR(TB_Entradas[[#This Row],[Quantidade Comprada]]*TB_Entradas[[#This Row],[Custo Unitário]],"Erro ao calcular")</f>
        <v>200</v>
      </c>
    </row>
    <row r="7" spans="2:8" ht="16.2" x14ac:dyDescent="0.35">
      <c r="B7" s="52">
        <f>MONTH(TB_Entradas[[#This Row],[Data]])</f>
        <v>1</v>
      </c>
      <c r="C7" s="47">
        <v>44566</v>
      </c>
      <c r="D7" s="44" t="s">
        <v>10</v>
      </c>
      <c r="E7" s="37" t="s">
        <v>56</v>
      </c>
      <c r="F7" s="45">
        <v>100</v>
      </c>
      <c r="G7" s="46" cm="1">
        <f t="array" ref="G7">_xlfn.XLOOKUP(TB_Entradas[[#This Row],[Produto]],TB_Produtos[[#All],[Produto]],TB_Produtos[[#All],[Custo Unitário]],"Produto não Encontrado",0,1)</f>
        <v>0.5</v>
      </c>
      <c r="H7" s="46">
        <f>IFERROR(TB_Entradas[[#This Row],[Quantidade Comprada]]*TB_Entradas[[#This Row],[Custo Unitário]],"Erro ao calcular")</f>
        <v>50</v>
      </c>
    </row>
    <row r="8" spans="2:8" ht="16.2" x14ac:dyDescent="0.35">
      <c r="B8" s="52">
        <f>MONTH(TB_Entradas[[#This Row],[Data]])</f>
        <v>1</v>
      </c>
      <c r="C8" s="47">
        <v>44576</v>
      </c>
      <c r="D8" s="44" t="s">
        <v>19</v>
      </c>
      <c r="E8" s="37" t="s">
        <v>43</v>
      </c>
      <c r="F8" s="45">
        <v>90</v>
      </c>
      <c r="G8" s="46" cm="1">
        <f t="array" ref="G8">_xlfn.XLOOKUP(TB_Entradas[[#This Row],[Produto]],TB_Produtos[[#All],[Produto]],TB_Produtos[[#All],[Custo Unitário]],"Produto não Encontrado",0,1)</f>
        <v>0.25</v>
      </c>
      <c r="H8" s="46">
        <f>IFERROR(TB_Entradas[[#This Row],[Quantidade Comprada]]*TB_Entradas[[#This Row],[Custo Unitário]],"Erro ao calcular")</f>
        <v>22.5</v>
      </c>
    </row>
    <row r="9" spans="2:8" ht="16.2" x14ac:dyDescent="0.35">
      <c r="B9" s="52">
        <f>MONTH(TB_Entradas[[#This Row],[Data]])</f>
        <v>1</v>
      </c>
      <c r="C9" s="47">
        <v>44578</v>
      </c>
      <c r="D9" s="44" t="s">
        <v>25</v>
      </c>
      <c r="E9" s="37" t="s">
        <v>56</v>
      </c>
      <c r="F9" s="45">
        <v>100</v>
      </c>
      <c r="G9" s="46" cm="1">
        <f t="array" ref="G9">_xlfn.XLOOKUP(TB_Entradas[[#This Row],[Produto]],TB_Produtos[[#All],[Produto]],TB_Produtos[[#All],[Custo Unitário]],"Produto não Encontrado",0,1)</f>
        <v>0.25</v>
      </c>
      <c r="H9" s="46">
        <f>IFERROR(TB_Entradas[[#This Row],[Quantidade Comprada]]*TB_Entradas[[#This Row],[Custo Unitário]],"Erro ao calcular")</f>
        <v>25</v>
      </c>
    </row>
    <row r="10" spans="2:8" ht="16.2" x14ac:dyDescent="0.35">
      <c r="B10" s="52">
        <f>MONTH(TB_Entradas[[#This Row],[Data]])</f>
        <v>2</v>
      </c>
      <c r="C10" s="47">
        <v>44593</v>
      </c>
      <c r="D10" s="44" t="s">
        <v>25</v>
      </c>
      <c r="E10" s="37" t="s">
        <v>56</v>
      </c>
      <c r="F10" s="45">
        <v>85</v>
      </c>
      <c r="G10" s="46" cm="1">
        <f t="array" ref="G10">_xlfn.XLOOKUP(TB_Entradas[[#This Row],[Produto]],TB_Produtos[[#All],[Produto]],TB_Produtos[[#All],[Custo Unitário]],"Produto não Encontrado",0,1)</f>
        <v>0.25</v>
      </c>
      <c r="H10" s="46">
        <f>IFERROR(TB_Entradas[[#This Row],[Quantidade Comprada]]*TB_Entradas[[#This Row],[Custo Unitário]],"Erro ao calcular")</f>
        <v>21.25</v>
      </c>
    </row>
    <row r="11" spans="2:8" ht="16.2" x14ac:dyDescent="0.35">
      <c r="B11" s="52">
        <f>MONTH(TB_Entradas[[#This Row],[Data]])</f>
        <v>2</v>
      </c>
      <c r="C11" s="47">
        <v>44594</v>
      </c>
      <c r="D11" s="44" t="s">
        <v>19</v>
      </c>
      <c r="E11" s="37" t="s">
        <v>43</v>
      </c>
      <c r="F11" s="45">
        <v>80</v>
      </c>
      <c r="G11" s="46" cm="1">
        <f t="array" ref="G11">_xlfn.XLOOKUP(TB_Entradas[[#This Row],[Produto]],TB_Produtos[[#All],[Produto]],TB_Produtos[[#All],[Custo Unitário]],"Produto não Encontrado",0,1)</f>
        <v>0.25</v>
      </c>
      <c r="H11" s="46">
        <f>IFERROR(TB_Entradas[[#This Row],[Quantidade Comprada]]*TB_Entradas[[#This Row],[Custo Unitário]],"Erro ao calcular")</f>
        <v>20</v>
      </c>
    </row>
    <row r="12" spans="2:8" ht="16.2" x14ac:dyDescent="0.35">
      <c r="B12" s="52">
        <f>MONTH(TB_Entradas[[#This Row],[Data]])</f>
        <v>2</v>
      </c>
      <c r="C12" s="47">
        <v>44598</v>
      </c>
      <c r="D12" s="44" t="s">
        <v>6</v>
      </c>
      <c r="E12" s="37" t="s">
        <v>43</v>
      </c>
      <c r="F12" s="45">
        <v>125</v>
      </c>
      <c r="G12" s="46" cm="1">
        <f t="array" ref="G12">_xlfn.XLOOKUP(TB_Entradas[[#This Row],[Produto]],TB_Produtos[[#All],[Produto]],TB_Produtos[[#All],[Custo Unitário]],"Produto não Encontrado",0,1)</f>
        <v>2</v>
      </c>
      <c r="H12" s="46">
        <f>IFERROR(TB_Entradas[[#This Row],[Quantidade Comprada]]*TB_Entradas[[#This Row],[Custo Unitário]],"Erro ao calcular")</f>
        <v>250</v>
      </c>
    </row>
    <row r="13" spans="2:8" ht="16.2" x14ac:dyDescent="0.35">
      <c r="B13" s="52">
        <f>MONTH(TB_Entradas[[#This Row],[Data]])</f>
        <v>2</v>
      </c>
      <c r="C13" s="47">
        <v>44602</v>
      </c>
      <c r="D13" s="44" t="s">
        <v>31</v>
      </c>
      <c r="E13" s="37" t="s">
        <v>51</v>
      </c>
      <c r="F13" s="45">
        <v>50</v>
      </c>
      <c r="G13" s="46" cm="1">
        <f t="array" ref="G13">_xlfn.XLOOKUP(TB_Entradas[[#This Row],[Produto]],TB_Produtos[[#All],[Produto]],TB_Produtos[[#All],[Custo Unitário]],"Produto não Encontrado",0,1)</f>
        <v>0.75</v>
      </c>
      <c r="H13" s="46">
        <f>IFERROR(TB_Entradas[[#This Row],[Quantidade Comprada]]*TB_Entradas[[#This Row],[Custo Unitário]],"Erro ao calcular")</f>
        <v>37.5</v>
      </c>
    </row>
    <row r="14" spans="2:8" ht="16.2" x14ac:dyDescent="0.35">
      <c r="B14" s="52">
        <f>MONTH(TB_Entradas[[#This Row],[Data]])</f>
        <v>2</v>
      </c>
      <c r="C14" s="47">
        <v>44612</v>
      </c>
      <c r="D14" s="44" t="s">
        <v>10</v>
      </c>
      <c r="E14" s="37" t="s">
        <v>56</v>
      </c>
      <c r="F14" s="45">
        <v>100</v>
      </c>
      <c r="G14" s="46" cm="1">
        <f t="array" ref="G14">_xlfn.XLOOKUP(TB_Entradas[[#This Row],[Produto]],TB_Produtos[[#All],[Produto]],TB_Produtos[[#All],[Custo Unitário]],"Produto não Encontrado",0,1)</f>
        <v>0.5</v>
      </c>
      <c r="H14" s="46">
        <f>IFERROR(TB_Entradas[[#This Row],[Quantidade Comprada]]*TB_Entradas[[#This Row],[Custo Unitário]],"Erro ao calcular")</f>
        <v>50</v>
      </c>
    </row>
    <row r="15" spans="2:8" ht="16.2" x14ac:dyDescent="0.35">
      <c r="B15" s="52">
        <f>MONTH(TB_Entradas[[#This Row],[Data]])</f>
        <v>3</v>
      </c>
      <c r="C15" s="47">
        <v>44625</v>
      </c>
      <c r="D15" s="44" t="s">
        <v>36</v>
      </c>
      <c r="E15" s="37" t="s">
        <v>51</v>
      </c>
      <c r="F15" s="45">
        <v>250</v>
      </c>
      <c r="G15" s="46" cm="1">
        <f t="array" ref="G15">_xlfn.XLOOKUP(TB_Entradas[[#This Row],[Produto]],TB_Produtos[[#All],[Produto]],TB_Produtos[[#All],[Custo Unitário]],"Produto não Encontrado",0,1)</f>
        <v>2</v>
      </c>
      <c r="H15" s="46">
        <f>IFERROR(TB_Entradas[[#This Row],[Quantidade Comprada]]*TB_Entradas[[#This Row],[Custo Unitário]],"Erro ao calcular")</f>
        <v>500</v>
      </c>
    </row>
    <row r="16" spans="2:8" ht="16.2" x14ac:dyDescent="0.35">
      <c r="B16" s="52">
        <f>MONTH(TB_Entradas[[#This Row],[Data]])</f>
        <v>3</v>
      </c>
      <c r="C16" s="47">
        <v>44630</v>
      </c>
      <c r="D16" s="44" t="s">
        <v>25</v>
      </c>
      <c r="E16" s="37" t="s">
        <v>56</v>
      </c>
      <c r="F16" s="45">
        <v>50</v>
      </c>
      <c r="G16" s="46" cm="1">
        <f t="array" ref="G16">_xlfn.XLOOKUP(TB_Entradas[[#This Row],[Produto]],TB_Produtos[[#All],[Produto]],TB_Produtos[[#All],[Custo Unitário]],"Produto não Encontrado",0,1)</f>
        <v>0.25</v>
      </c>
      <c r="H16" s="46">
        <f>IFERROR(TB_Entradas[[#This Row],[Quantidade Comprada]]*TB_Entradas[[#This Row],[Custo Unitário]],"Erro ao calcular")</f>
        <v>12.5</v>
      </c>
    </row>
    <row r="17" spans="2:8" ht="16.2" x14ac:dyDescent="0.35">
      <c r="B17" s="52">
        <f>MONTH(TB_Entradas[[#This Row],[Data]])</f>
        <v>3</v>
      </c>
      <c r="C17" s="47">
        <v>44635</v>
      </c>
      <c r="D17" s="44" t="s">
        <v>6</v>
      </c>
      <c r="E17" s="37" t="s">
        <v>43</v>
      </c>
      <c r="F17" s="45">
        <v>150</v>
      </c>
      <c r="G17" s="46" cm="1">
        <f t="array" ref="G17">_xlfn.XLOOKUP(TB_Entradas[[#This Row],[Produto]],TB_Produtos[[#All],[Produto]],TB_Produtos[[#All],[Custo Unitário]],"Produto não Encontrado",0,1)</f>
        <v>2</v>
      </c>
      <c r="H17" s="46">
        <f>IFERROR(TB_Entradas[[#This Row],[Quantidade Comprada]]*TB_Entradas[[#This Row],[Custo Unitário]],"Erro ao calcular")</f>
        <v>300</v>
      </c>
    </row>
    <row r="18" spans="2:8" ht="16.2" x14ac:dyDescent="0.35">
      <c r="B18" s="52">
        <f>MONTH(TB_Entradas[[#This Row],[Data]])</f>
        <v>3</v>
      </c>
      <c r="C18" s="47">
        <v>44637</v>
      </c>
      <c r="D18" s="44" t="s">
        <v>26</v>
      </c>
      <c r="E18" s="37" t="s">
        <v>43</v>
      </c>
      <c r="F18" s="45">
        <v>100</v>
      </c>
      <c r="G18" s="46" cm="1">
        <f t="array" ref="G18">_xlfn.XLOOKUP(TB_Entradas[[#This Row],[Produto]],TB_Produtos[[#All],[Produto]],TB_Produtos[[#All],[Custo Unitário]],"Produto não Encontrado",0,1)</f>
        <v>0.75</v>
      </c>
      <c r="H18" s="46">
        <f>IFERROR(TB_Entradas[[#This Row],[Quantidade Comprada]]*TB_Entradas[[#This Row],[Custo Unitário]],"Erro ao calcular")</f>
        <v>75</v>
      </c>
    </row>
    <row r="19" spans="2:8" ht="16.2" x14ac:dyDescent="0.35">
      <c r="B19" s="52">
        <f>MONTH(TB_Entradas[[#This Row],[Data]])</f>
        <v>3</v>
      </c>
      <c r="C19" s="47">
        <v>44644</v>
      </c>
      <c r="D19" s="44" t="s">
        <v>19</v>
      </c>
      <c r="E19" s="37" t="s">
        <v>43</v>
      </c>
      <c r="F19" s="45">
        <v>40</v>
      </c>
      <c r="G19" s="46" cm="1">
        <f t="array" ref="G19">_xlfn.XLOOKUP(TB_Entradas[[#This Row],[Produto]],TB_Produtos[[#All],[Produto]],TB_Produtos[[#All],[Custo Unitário]],"Produto não Encontrado",0,1)</f>
        <v>0.25</v>
      </c>
      <c r="H19" s="46">
        <f>IFERROR(TB_Entradas[[#This Row],[Quantidade Comprada]]*TB_Entradas[[#This Row],[Custo Unitário]],"Erro ao calcular")</f>
        <v>10</v>
      </c>
    </row>
    <row r="20" spans="2:8" ht="16.2" x14ac:dyDescent="0.35">
      <c r="B20" s="52">
        <f>MONTH(TB_Entradas[[#This Row],[Data]])</f>
        <v>3</v>
      </c>
      <c r="C20" s="47">
        <v>44647</v>
      </c>
      <c r="D20" s="44" t="s">
        <v>10</v>
      </c>
      <c r="E20" s="37" t="s">
        <v>56</v>
      </c>
      <c r="F20" s="45">
        <v>50</v>
      </c>
      <c r="G20" s="46" cm="1">
        <f t="array" ref="G20">_xlfn.XLOOKUP(TB_Entradas[[#This Row],[Produto]],TB_Produtos[[#All],[Produto]],TB_Produtos[[#All],[Custo Unitário]],"Produto não Encontrado",0,1)</f>
        <v>0.5</v>
      </c>
      <c r="H20" s="46">
        <f>IFERROR(TB_Entradas[[#This Row],[Quantidade Comprada]]*TB_Entradas[[#This Row],[Custo Unitário]],"Erro ao calcular")</f>
        <v>25</v>
      </c>
    </row>
    <row r="21" spans="2:8" ht="16.2" x14ac:dyDescent="0.35">
      <c r="B21" s="52">
        <f>MONTH(TB_Entradas[[#This Row],[Data]])</f>
        <v>4</v>
      </c>
      <c r="C21" s="47">
        <v>44655</v>
      </c>
      <c r="D21" s="44" t="s">
        <v>25</v>
      </c>
      <c r="E21" s="37" t="s">
        <v>56</v>
      </c>
      <c r="F21" s="45">
        <v>90</v>
      </c>
      <c r="G21" s="46" cm="1">
        <f t="array" ref="G21">_xlfn.XLOOKUP(TB_Entradas[[#This Row],[Produto]],TB_Produtos[[#All],[Produto]],TB_Produtos[[#All],[Custo Unitário]],"Produto não Encontrado",0,1)</f>
        <v>0.25</v>
      </c>
      <c r="H21" s="46">
        <f>IFERROR(TB_Entradas[[#This Row],[Quantidade Comprada]]*TB_Entradas[[#This Row],[Custo Unitário]],"Erro ao calcular")</f>
        <v>22.5</v>
      </c>
    </row>
    <row r="22" spans="2:8" ht="16.2" x14ac:dyDescent="0.35">
      <c r="B22" s="52">
        <f>MONTH(TB_Entradas[[#This Row],[Data]])</f>
        <v>4</v>
      </c>
      <c r="C22" s="47">
        <v>44661</v>
      </c>
      <c r="D22" s="44" t="s">
        <v>6</v>
      </c>
      <c r="E22" s="37" t="s">
        <v>43</v>
      </c>
      <c r="F22" s="45">
        <v>150</v>
      </c>
      <c r="G22" s="46" cm="1">
        <f t="array" ref="G22">_xlfn.XLOOKUP(TB_Entradas[[#This Row],[Produto]],TB_Produtos[[#All],[Produto]],TB_Produtos[[#All],[Custo Unitário]],"Produto não Encontrado",0,1)</f>
        <v>2</v>
      </c>
      <c r="H22" s="46">
        <f>IFERROR(TB_Entradas[[#This Row],[Quantidade Comprada]]*TB_Entradas[[#This Row],[Custo Unitário]],"Erro ao calcular")</f>
        <v>300</v>
      </c>
    </row>
    <row r="23" spans="2:8" ht="16.2" x14ac:dyDescent="0.35">
      <c r="B23" s="52">
        <f>MONTH(TB_Entradas[[#This Row],[Data]])</f>
        <v>4</v>
      </c>
      <c r="C23" s="47">
        <v>44672</v>
      </c>
      <c r="D23" s="44" t="s">
        <v>19</v>
      </c>
      <c r="E23" s="37" t="s">
        <v>43</v>
      </c>
      <c r="F23" s="45">
        <v>60</v>
      </c>
      <c r="G23" s="46" cm="1">
        <f t="array" ref="G23">_xlfn.XLOOKUP(TB_Entradas[[#This Row],[Produto]],TB_Produtos[[#All],[Produto]],TB_Produtos[[#All],[Custo Unitário]],"Produto não Encontrado",0,1)</f>
        <v>0.25</v>
      </c>
      <c r="H23" s="46">
        <f>IFERROR(TB_Entradas[[#This Row],[Quantidade Comprada]]*TB_Entradas[[#This Row],[Custo Unitário]],"Erro ao calcular")</f>
        <v>15</v>
      </c>
    </row>
    <row r="24" spans="2:8" ht="16.2" x14ac:dyDescent="0.35">
      <c r="B24" s="52">
        <f>MONTH(TB_Entradas[[#This Row],[Data]])</f>
        <v>4</v>
      </c>
      <c r="C24" s="47">
        <v>44681</v>
      </c>
      <c r="D24" s="44" t="s">
        <v>10</v>
      </c>
      <c r="E24" s="37" t="s">
        <v>56</v>
      </c>
      <c r="F24" s="45">
        <v>50</v>
      </c>
      <c r="G24" s="46" cm="1">
        <f t="array" ref="G24">_xlfn.XLOOKUP(TB_Entradas[[#This Row],[Produto]],TB_Produtos[[#All],[Produto]],TB_Produtos[[#All],[Custo Unitário]],"Produto não Encontrado",0,1)</f>
        <v>0.5</v>
      </c>
      <c r="H24" s="46">
        <f>IFERROR(TB_Entradas[[#This Row],[Quantidade Comprada]]*TB_Entradas[[#This Row],[Custo Unitário]],"Erro ao calcular")</f>
        <v>25</v>
      </c>
    </row>
    <row r="25" spans="2:8" ht="16.2" x14ac:dyDescent="0.35">
      <c r="B25" s="52">
        <f>MONTH(TB_Entradas[[#This Row],[Data]])</f>
        <v>5</v>
      </c>
      <c r="C25" s="47">
        <v>44686</v>
      </c>
      <c r="D25" s="44" t="s">
        <v>27</v>
      </c>
      <c r="E25" s="37" t="s">
        <v>47</v>
      </c>
      <c r="F25" s="45">
        <v>60</v>
      </c>
      <c r="G25" s="46" cm="1">
        <f t="array" ref="G25">_xlfn.XLOOKUP(TB_Entradas[[#This Row],[Produto]],TB_Produtos[[#All],[Produto]],TB_Produtos[[#All],[Custo Unitário]],"Produto não Encontrado",0,1)</f>
        <v>8</v>
      </c>
      <c r="H25" s="46">
        <f>IFERROR(TB_Entradas[[#This Row],[Quantidade Comprada]]*TB_Entradas[[#This Row],[Custo Unitário]],"Erro ao calcular")</f>
        <v>480</v>
      </c>
    </row>
    <row r="26" spans="2:8" ht="16.2" x14ac:dyDescent="0.35">
      <c r="B26" s="52">
        <f>MONTH(TB_Entradas[[#This Row],[Data]])</f>
        <v>5</v>
      </c>
      <c r="C26" s="47">
        <v>44687</v>
      </c>
      <c r="D26" s="44" t="s">
        <v>10</v>
      </c>
      <c r="E26" s="37" t="s">
        <v>56</v>
      </c>
      <c r="F26" s="45">
        <v>50</v>
      </c>
      <c r="G26" s="46" cm="1">
        <f t="array" ref="G26">_xlfn.XLOOKUP(TB_Entradas[[#This Row],[Produto]],TB_Produtos[[#All],[Produto]],TB_Produtos[[#All],[Custo Unitário]],"Produto não Encontrado",0,1)</f>
        <v>0.5</v>
      </c>
      <c r="H26" s="46">
        <f>IFERROR(TB_Entradas[[#This Row],[Quantidade Comprada]]*TB_Entradas[[#This Row],[Custo Unitário]],"Erro ao calcular")</f>
        <v>25</v>
      </c>
    </row>
    <row r="27" spans="2:8" ht="16.2" x14ac:dyDescent="0.35">
      <c r="B27" s="52">
        <f>MONTH(TB_Entradas[[#This Row],[Data]])</f>
        <v>5</v>
      </c>
      <c r="C27" s="47">
        <v>44691</v>
      </c>
      <c r="D27" s="44" t="s">
        <v>25</v>
      </c>
      <c r="E27" s="37" t="s">
        <v>56</v>
      </c>
      <c r="F27" s="45">
        <v>30</v>
      </c>
      <c r="G27" s="46" cm="1">
        <f t="array" ref="G27">_xlfn.XLOOKUP(TB_Entradas[[#This Row],[Produto]],TB_Produtos[[#All],[Produto]],TB_Produtos[[#All],[Custo Unitário]],"Produto não Encontrado",0,1)</f>
        <v>0.25</v>
      </c>
      <c r="H27" s="46">
        <f>IFERROR(TB_Entradas[[#This Row],[Quantidade Comprada]]*TB_Entradas[[#This Row],[Custo Unitário]],"Erro ao calcular")</f>
        <v>7.5</v>
      </c>
    </row>
    <row r="28" spans="2:8" ht="16.2" x14ac:dyDescent="0.35">
      <c r="B28" s="52">
        <f>MONTH(TB_Entradas[[#This Row],[Data]])</f>
        <v>5</v>
      </c>
      <c r="C28" s="47">
        <v>44691</v>
      </c>
      <c r="D28" s="44" t="s">
        <v>6</v>
      </c>
      <c r="E28" s="37" t="s">
        <v>43</v>
      </c>
      <c r="F28" s="45">
        <v>100</v>
      </c>
      <c r="G28" s="46" cm="1">
        <f t="array" ref="G28">_xlfn.XLOOKUP(TB_Entradas[[#This Row],[Produto]],TB_Produtos[[#All],[Produto]],TB_Produtos[[#All],[Custo Unitário]],"Produto não Encontrado",0,1)</f>
        <v>2</v>
      </c>
      <c r="H28" s="46">
        <f>IFERROR(TB_Entradas[[#This Row],[Quantidade Comprada]]*TB_Entradas[[#This Row],[Custo Unitário]],"Erro ao calcular")</f>
        <v>200</v>
      </c>
    </row>
    <row r="29" spans="2:8" ht="16.2" x14ac:dyDescent="0.35">
      <c r="B29" s="52">
        <f>MONTH(TB_Entradas[[#This Row],[Data]])</f>
        <v>5</v>
      </c>
      <c r="C29" s="47">
        <v>44698</v>
      </c>
      <c r="D29" s="44" t="s">
        <v>19</v>
      </c>
      <c r="E29" s="37" t="s">
        <v>43</v>
      </c>
      <c r="F29" s="45">
        <v>45</v>
      </c>
      <c r="G29" s="46" cm="1">
        <f t="array" ref="G29">_xlfn.XLOOKUP(TB_Entradas[[#This Row],[Produto]],TB_Produtos[[#All],[Produto]],TB_Produtos[[#All],[Custo Unitário]],"Produto não Encontrado",0,1)</f>
        <v>0.25</v>
      </c>
      <c r="H29" s="46">
        <f>IFERROR(TB_Entradas[[#This Row],[Quantidade Comprada]]*TB_Entradas[[#This Row],[Custo Unitário]],"Erro ao calcular")</f>
        <v>11.25</v>
      </c>
    </row>
    <row r="30" spans="2:8" ht="16.2" x14ac:dyDescent="0.35">
      <c r="B30" s="52">
        <f>MONTH(TB_Entradas[[#This Row],[Data]])</f>
        <v>6</v>
      </c>
      <c r="C30" s="47">
        <v>44714</v>
      </c>
      <c r="D30" s="44" t="s">
        <v>6</v>
      </c>
      <c r="E30" s="37" t="s">
        <v>43</v>
      </c>
      <c r="F30" s="45">
        <v>150</v>
      </c>
      <c r="G30" s="46" cm="1">
        <f t="array" ref="G30">_xlfn.XLOOKUP(TB_Entradas[[#This Row],[Produto]],TB_Produtos[[#All],[Produto]],TB_Produtos[[#All],[Custo Unitário]],"Produto não Encontrado",0,1)</f>
        <v>2</v>
      </c>
      <c r="H30" s="46">
        <f>IFERROR(TB_Entradas[[#This Row],[Quantidade Comprada]]*TB_Entradas[[#This Row],[Custo Unitário]],"Erro ao calcular")</f>
        <v>300</v>
      </c>
    </row>
    <row r="31" spans="2:8" ht="16.2" x14ac:dyDescent="0.35">
      <c r="B31" s="52">
        <f>MONTH(TB_Entradas[[#This Row],[Data]])</f>
        <v>6</v>
      </c>
      <c r="C31" s="47">
        <v>44719</v>
      </c>
      <c r="D31" s="44" t="s">
        <v>19</v>
      </c>
      <c r="E31" s="37" t="s">
        <v>43</v>
      </c>
      <c r="F31" s="45">
        <v>115</v>
      </c>
      <c r="G31" s="46" cm="1">
        <f t="array" ref="G31">_xlfn.XLOOKUP(TB_Entradas[[#This Row],[Produto]],TB_Produtos[[#All],[Produto]],TB_Produtos[[#All],[Custo Unitário]],"Produto não Encontrado",0,1)</f>
        <v>0.25</v>
      </c>
      <c r="H31" s="46">
        <f>IFERROR(TB_Entradas[[#This Row],[Quantidade Comprada]]*TB_Entradas[[#This Row],[Custo Unitário]],"Erro ao calcular")</f>
        <v>28.75</v>
      </c>
    </row>
    <row r="32" spans="2:8" ht="16.2" x14ac:dyDescent="0.35">
      <c r="B32" s="52">
        <f>MONTH(TB_Entradas[[#This Row],[Data]])</f>
        <v>6</v>
      </c>
      <c r="C32" s="47">
        <v>44727</v>
      </c>
      <c r="D32" s="44" t="s">
        <v>25</v>
      </c>
      <c r="E32" s="37" t="s">
        <v>56</v>
      </c>
      <c r="F32" s="45">
        <v>100</v>
      </c>
      <c r="G32" s="46" cm="1">
        <f t="array" ref="G32">_xlfn.XLOOKUP(TB_Entradas[[#This Row],[Produto]],TB_Produtos[[#All],[Produto]],TB_Produtos[[#All],[Custo Unitário]],"Produto não Encontrado",0,1)</f>
        <v>0.25</v>
      </c>
      <c r="H32" s="46">
        <f>IFERROR(TB_Entradas[[#This Row],[Quantidade Comprada]]*TB_Entradas[[#This Row],[Custo Unitário]],"Erro ao calcular")</f>
        <v>25</v>
      </c>
    </row>
    <row r="33" spans="2:8" ht="16.2" x14ac:dyDescent="0.35">
      <c r="B33" s="52">
        <f>MONTH(TB_Entradas[[#This Row],[Data]])</f>
        <v>6</v>
      </c>
      <c r="C33" s="47">
        <v>44735</v>
      </c>
      <c r="D33" s="44" t="s">
        <v>10</v>
      </c>
      <c r="E33" s="37" t="s">
        <v>56</v>
      </c>
      <c r="F33" s="45">
        <v>45</v>
      </c>
      <c r="G33" s="46" cm="1">
        <f t="array" ref="G33">_xlfn.XLOOKUP(TB_Entradas[[#This Row],[Produto]],TB_Produtos[[#All],[Produto]],TB_Produtos[[#All],[Custo Unitário]],"Produto não Encontrado",0,1)</f>
        <v>0.5</v>
      </c>
      <c r="H33" s="46">
        <f>IFERROR(TB_Entradas[[#This Row],[Quantidade Comprada]]*TB_Entradas[[#This Row],[Custo Unitário]],"Erro ao calcular")</f>
        <v>22.5</v>
      </c>
    </row>
    <row r="34" spans="2:8" ht="16.2" x14ac:dyDescent="0.35">
      <c r="B34" s="52">
        <f>MONTH(TB_Entradas[[#This Row],[Data]])</f>
        <v>7</v>
      </c>
      <c r="C34" s="47">
        <v>44743</v>
      </c>
      <c r="D34" s="44" t="s">
        <v>6</v>
      </c>
      <c r="E34" s="37" t="s">
        <v>43</v>
      </c>
      <c r="F34" s="45">
        <v>150</v>
      </c>
      <c r="G34" s="46" cm="1">
        <f t="array" ref="G34">_xlfn.XLOOKUP(TB_Entradas[[#This Row],[Produto]],TB_Produtos[[#All],[Produto]],TB_Produtos[[#All],[Custo Unitário]],"Produto não Encontrado",0,1)</f>
        <v>2</v>
      </c>
      <c r="H34" s="46">
        <f>IFERROR(TB_Entradas[[#This Row],[Quantidade Comprada]]*TB_Entradas[[#This Row],[Custo Unitário]],"Erro ao calcular")</f>
        <v>300</v>
      </c>
    </row>
    <row r="35" spans="2:8" ht="16.2" x14ac:dyDescent="0.35">
      <c r="B35" s="52">
        <f>MONTH(TB_Entradas[[#This Row],[Data]])</f>
        <v>7</v>
      </c>
      <c r="C35" s="47">
        <v>44747</v>
      </c>
      <c r="D35" s="44" t="s">
        <v>25</v>
      </c>
      <c r="E35" s="37" t="s">
        <v>56</v>
      </c>
      <c r="F35" s="45">
        <v>60</v>
      </c>
      <c r="G35" s="46" cm="1">
        <f t="array" ref="G35">_xlfn.XLOOKUP(TB_Entradas[[#This Row],[Produto]],TB_Produtos[[#All],[Produto]],TB_Produtos[[#All],[Custo Unitário]],"Produto não Encontrado",0,1)</f>
        <v>0.25</v>
      </c>
      <c r="H35" s="46">
        <f>IFERROR(TB_Entradas[[#This Row],[Quantidade Comprada]]*TB_Entradas[[#This Row],[Custo Unitário]],"Erro ao calcular")</f>
        <v>15</v>
      </c>
    </row>
    <row r="36" spans="2:8" ht="16.2" x14ac:dyDescent="0.35">
      <c r="B36" s="52">
        <f>MONTH(TB_Entradas[[#This Row],[Data]])</f>
        <v>7</v>
      </c>
      <c r="C36" s="47">
        <v>44749</v>
      </c>
      <c r="D36" s="44" t="s">
        <v>19</v>
      </c>
      <c r="E36" s="37" t="s">
        <v>43</v>
      </c>
      <c r="F36" s="45">
        <v>120</v>
      </c>
      <c r="G36" s="46" cm="1">
        <f t="array" ref="G36">_xlfn.XLOOKUP(TB_Entradas[[#This Row],[Produto]],TB_Produtos[[#All],[Produto]],TB_Produtos[[#All],[Custo Unitário]],"Produto não Encontrado",0,1)</f>
        <v>0.25</v>
      </c>
      <c r="H36" s="46">
        <f>IFERROR(TB_Entradas[[#This Row],[Quantidade Comprada]]*TB_Entradas[[#This Row],[Custo Unitário]],"Erro ao calcular")</f>
        <v>30</v>
      </c>
    </row>
    <row r="37" spans="2:8" ht="16.2" x14ac:dyDescent="0.35">
      <c r="B37" s="52">
        <f>MONTH(TB_Entradas[[#This Row],[Data]])</f>
        <v>7</v>
      </c>
      <c r="C37" s="47">
        <v>44757</v>
      </c>
      <c r="D37" s="44" t="s">
        <v>10</v>
      </c>
      <c r="E37" s="37" t="s">
        <v>56</v>
      </c>
      <c r="F37" s="45">
        <v>20</v>
      </c>
      <c r="G37" s="46" cm="1">
        <f t="array" ref="G37">_xlfn.XLOOKUP(TB_Entradas[[#This Row],[Produto]],TB_Produtos[[#All],[Produto]],TB_Produtos[[#All],[Custo Unitário]],"Produto não Encontrado",0,1)</f>
        <v>0.5</v>
      </c>
      <c r="H37" s="46">
        <f>IFERROR(TB_Entradas[[#This Row],[Quantidade Comprada]]*TB_Entradas[[#This Row],[Custo Unitário]],"Erro ao calcular")</f>
        <v>10</v>
      </c>
    </row>
    <row r="38" spans="2:8" ht="16.2" x14ac:dyDescent="0.35">
      <c r="B38" s="52">
        <f>MONTH(TB_Entradas[[#This Row],[Data]])</f>
        <v>8</v>
      </c>
      <c r="C38" s="47">
        <v>44778</v>
      </c>
      <c r="D38" s="44" t="s">
        <v>19</v>
      </c>
      <c r="E38" s="37" t="s">
        <v>43</v>
      </c>
      <c r="F38" s="45">
        <v>35</v>
      </c>
      <c r="G38" s="46" cm="1">
        <f t="array" ref="G38">_xlfn.XLOOKUP(TB_Entradas[[#This Row],[Produto]],TB_Produtos[[#All],[Produto]],TB_Produtos[[#All],[Custo Unitário]],"Produto não Encontrado",0,1)</f>
        <v>0.25</v>
      </c>
      <c r="H38" s="46">
        <f>IFERROR(TB_Entradas[[#This Row],[Quantidade Comprada]]*TB_Entradas[[#This Row],[Custo Unitário]],"Erro ao calcular")</f>
        <v>8.75</v>
      </c>
    </row>
    <row r="39" spans="2:8" ht="16.2" x14ac:dyDescent="0.35">
      <c r="B39" s="52">
        <f>MONTH(TB_Entradas[[#This Row],[Data]])</f>
        <v>8</v>
      </c>
      <c r="C39" s="47">
        <v>44783</v>
      </c>
      <c r="D39" s="44" t="s">
        <v>23</v>
      </c>
      <c r="E39" s="37" t="s">
        <v>43</v>
      </c>
      <c r="F39" s="45">
        <v>100</v>
      </c>
      <c r="G39" s="46" cm="1">
        <f t="array" ref="G39">_xlfn.XLOOKUP(TB_Entradas[[#This Row],[Produto]],TB_Produtos[[#All],[Produto]],TB_Produtos[[#All],[Custo Unitário]],"Produto não Encontrado",0,1)</f>
        <v>1</v>
      </c>
      <c r="H39" s="46">
        <f>IFERROR(TB_Entradas[[#This Row],[Quantidade Comprada]]*TB_Entradas[[#This Row],[Custo Unitário]],"Erro ao calcular")</f>
        <v>100</v>
      </c>
    </row>
    <row r="40" spans="2:8" ht="16.2" x14ac:dyDescent="0.35">
      <c r="B40" s="52">
        <f>MONTH(TB_Entradas[[#This Row],[Data]])</f>
        <v>8</v>
      </c>
      <c r="C40" s="47">
        <v>44791</v>
      </c>
      <c r="D40" s="44" t="s">
        <v>25</v>
      </c>
      <c r="E40" s="37" t="s">
        <v>56</v>
      </c>
      <c r="F40" s="45">
        <v>30</v>
      </c>
      <c r="G40" s="46" cm="1">
        <f t="array" ref="G40">_xlfn.XLOOKUP(TB_Entradas[[#This Row],[Produto]],TB_Produtos[[#All],[Produto]],TB_Produtos[[#All],[Custo Unitário]],"Produto não Encontrado",0,1)</f>
        <v>0.25</v>
      </c>
      <c r="H40" s="46">
        <f>IFERROR(TB_Entradas[[#This Row],[Quantidade Comprada]]*TB_Entradas[[#This Row],[Custo Unitário]],"Erro ao calcular")</f>
        <v>7.5</v>
      </c>
    </row>
    <row r="41" spans="2:8" ht="16.2" x14ac:dyDescent="0.35">
      <c r="B41" s="52">
        <f>MONTH(TB_Entradas[[#This Row],[Data]])</f>
        <v>8</v>
      </c>
      <c r="C41" s="47">
        <v>44791</v>
      </c>
      <c r="D41" s="44" t="s">
        <v>10</v>
      </c>
      <c r="E41" s="37" t="s">
        <v>56</v>
      </c>
      <c r="F41" s="45">
        <v>30</v>
      </c>
      <c r="G41" s="46" cm="1">
        <f t="array" ref="G41">_xlfn.XLOOKUP(TB_Entradas[[#This Row],[Produto]],TB_Produtos[[#All],[Produto]],TB_Produtos[[#All],[Custo Unitário]],"Produto não Encontrado",0,1)</f>
        <v>0.5</v>
      </c>
      <c r="H41" s="46">
        <f>IFERROR(TB_Entradas[[#This Row],[Quantidade Comprada]]*TB_Entradas[[#This Row],[Custo Unitário]],"Erro ao calcular")</f>
        <v>15</v>
      </c>
    </row>
    <row r="42" spans="2:8" ht="16.2" x14ac:dyDescent="0.35">
      <c r="B42" s="52">
        <f>MONTH(TB_Entradas[[#This Row],[Data]])</f>
        <v>8</v>
      </c>
      <c r="C42" s="47">
        <v>44804</v>
      </c>
      <c r="D42" s="44" t="s">
        <v>6</v>
      </c>
      <c r="E42" s="37" t="s">
        <v>43</v>
      </c>
      <c r="F42" s="45">
        <v>150</v>
      </c>
      <c r="G42" s="46" cm="1">
        <f t="array" ref="G42">_xlfn.XLOOKUP(TB_Entradas[[#This Row],[Produto]],TB_Produtos[[#All],[Produto]],TB_Produtos[[#All],[Custo Unitário]],"Produto não Encontrado",0,1)</f>
        <v>2</v>
      </c>
      <c r="H42" s="46">
        <f>IFERROR(TB_Entradas[[#This Row],[Quantidade Comprada]]*TB_Entradas[[#This Row],[Custo Unitário]],"Erro ao calcular")</f>
        <v>300</v>
      </c>
    </row>
    <row r="43" spans="2:8" ht="16.2" x14ac:dyDescent="0.35">
      <c r="B43" s="52">
        <f>MONTH(TB_Entradas[[#This Row],[Data]])</f>
        <v>9</v>
      </c>
      <c r="C43" s="47">
        <v>44806</v>
      </c>
      <c r="D43" s="44" t="s">
        <v>36</v>
      </c>
      <c r="E43" s="37" t="s">
        <v>51</v>
      </c>
      <c r="F43" s="45">
        <v>100</v>
      </c>
      <c r="G43" s="46" cm="1">
        <f t="array" ref="G43">_xlfn.XLOOKUP(TB_Entradas[[#This Row],[Produto]],TB_Produtos[[#All],[Produto]],TB_Produtos[[#All],[Custo Unitário]],"Produto não Encontrado",0,1)</f>
        <v>2</v>
      </c>
      <c r="H43" s="46">
        <f>IFERROR(TB_Entradas[[#This Row],[Quantidade Comprada]]*TB_Entradas[[#This Row],[Custo Unitário]],"Erro ao calcular")</f>
        <v>200</v>
      </c>
    </row>
    <row r="44" spans="2:8" ht="16.2" x14ac:dyDescent="0.35">
      <c r="B44" s="52">
        <f>MONTH(TB_Entradas[[#This Row],[Data]])</f>
        <v>9</v>
      </c>
      <c r="C44" s="47">
        <v>44811</v>
      </c>
      <c r="D44" s="44" t="s">
        <v>19</v>
      </c>
      <c r="E44" s="37" t="s">
        <v>43</v>
      </c>
      <c r="F44" s="45">
        <v>34</v>
      </c>
      <c r="G44" s="46" cm="1">
        <f t="array" ref="G44">_xlfn.XLOOKUP(TB_Entradas[[#This Row],[Produto]],TB_Produtos[[#All],[Produto]],TB_Produtos[[#All],[Custo Unitário]],"Produto não Encontrado",0,1)</f>
        <v>0.25</v>
      </c>
      <c r="H44" s="46">
        <f>IFERROR(TB_Entradas[[#This Row],[Quantidade Comprada]]*TB_Entradas[[#This Row],[Custo Unitário]],"Erro ao calcular")</f>
        <v>8.5</v>
      </c>
    </row>
    <row r="45" spans="2:8" ht="16.2" x14ac:dyDescent="0.35">
      <c r="B45" s="52">
        <f>MONTH(TB_Entradas[[#This Row],[Data]])</f>
        <v>9</v>
      </c>
      <c r="C45" s="47">
        <v>44821</v>
      </c>
      <c r="D45" s="44" t="s">
        <v>28</v>
      </c>
      <c r="E45" s="37" t="s">
        <v>47</v>
      </c>
      <c r="F45" s="45">
        <v>50</v>
      </c>
      <c r="G45" s="46" cm="1">
        <f t="array" ref="G45">_xlfn.XLOOKUP(TB_Entradas[[#This Row],[Produto]],TB_Produtos[[#All],[Produto]],TB_Produtos[[#All],[Custo Unitário]],"Produto não Encontrado",0,1)</f>
        <v>4.5</v>
      </c>
      <c r="H45" s="46">
        <f>IFERROR(TB_Entradas[[#This Row],[Quantidade Comprada]]*TB_Entradas[[#This Row],[Custo Unitário]],"Erro ao calcular")</f>
        <v>225</v>
      </c>
    </row>
    <row r="46" spans="2:8" ht="16.2" x14ac:dyDescent="0.35">
      <c r="B46" s="52">
        <f>MONTH(TB_Entradas[[#This Row],[Data]])</f>
        <v>9</v>
      </c>
      <c r="C46" s="47">
        <v>44823</v>
      </c>
      <c r="D46" s="44" t="s">
        <v>25</v>
      </c>
      <c r="E46" s="37" t="s">
        <v>56</v>
      </c>
      <c r="F46" s="45">
        <v>20</v>
      </c>
      <c r="G46" s="46" cm="1">
        <f t="array" ref="G46">_xlfn.XLOOKUP(TB_Entradas[[#This Row],[Produto]],TB_Produtos[[#All],[Produto]],TB_Produtos[[#All],[Custo Unitário]],"Produto não Encontrado",0,1)</f>
        <v>0.25</v>
      </c>
      <c r="H46" s="46">
        <f>IFERROR(TB_Entradas[[#This Row],[Quantidade Comprada]]*TB_Entradas[[#This Row],[Custo Unitário]],"Erro ao calcular")</f>
        <v>5</v>
      </c>
    </row>
    <row r="47" spans="2:8" ht="16.2" x14ac:dyDescent="0.35">
      <c r="B47" s="52">
        <f>MONTH(TB_Entradas[[#This Row],[Data]])</f>
        <v>9</v>
      </c>
      <c r="C47" s="47">
        <v>44828</v>
      </c>
      <c r="D47" s="44" t="s">
        <v>10</v>
      </c>
      <c r="E47" s="37" t="s">
        <v>56</v>
      </c>
      <c r="F47" s="45">
        <v>15</v>
      </c>
      <c r="G47" s="46" cm="1">
        <f t="array" ref="G47">_xlfn.XLOOKUP(TB_Entradas[[#This Row],[Produto]],TB_Produtos[[#All],[Produto]],TB_Produtos[[#All],[Custo Unitário]],"Produto não Encontrado",0,1)</f>
        <v>0.5</v>
      </c>
      <c r="H47" s="46">
        <f>IFERROR(TB_Entradas[[#This Row],[Quantidade Comprada]]*TB_Entradas[[#This Row],[Custo Unitário]],"Erro ao calcular")</f>
        <v>7.5</v>
      </c>
    </row>
    <row r="48" spans="2:8" ht="16.2" x14ac:dyDescent="0.35">
      <c r="B48" s="52">
        <f>MONTH(TB_Entradas[[#This Row],[Data]])</f>
        <v>9</v>
      </c>
      <c r="C48" s="47">
        <v>44834</v>
      </c>
      <c r="D48" s="44" t="s">
        <v>6</v>
      </c>
      <c r="E48" s="37" t="s">
        <v>43</v>
      </c>
      <c r="F48" s="45">
        <v>180</v>
      </c>
      <c r="G48" s="46" cm="1">
        <f t="array" ref="G48">_xlfn.XLOOKUP(TB_Entradas[[#This Row],[Produto]],TB_Produtos[[#All],[Produto]],TB_Produtos[[#All],[Custo Unitário]],"Produto não Encontrado",0,1)</f>
        <v>2</v>
      </c>
      <c r="H48" s="46">
        <f>IFERROR(TB_Entradas[[#This Row],[Quantidade Comprada]]*TB_Entradas[[#This Row],[Custo Unitário]],"Erro ao calcular")</f>
        <v>360</v>
      </c>
    </row>
    <row r="49" spans="2:8" ht="16.2" x14ac:dyDescent="0.35">
      <c r="B49" s="52">
        <f>MONTH(TB_Entradas[[#This Row],[Data]])</f>
        <v>10</v>
      </c>
      <c r="C49" s="47">
        <v>44835</v>
      </c>
      <c r="D49" s="44" t="s">
        <v>19</v>
      </c>
      <c r="E49" s="37" t="s">
        <v>43</v>
      </c>
      <c r="F49" s="45">
        <v>46</v>
      </c>
      <c r="G49" s="46" cm="1">
        <f t="array" ref="G49">_xlfn.XLOOKUP(TB_Entradas[[#This Row],[Produto]],TB_Produtos[[#All],[Produto]],TB_Produtos[[#All],[Custo Unitário]],"Produto não Encontrado",0,1)</f>
        <v>0.25</v>
      </c>
      <c r="H49" s="46">
        <f>IFERROR(TB_Entradas[[#This Row],[Quantidade Comprada]]*TB_Entradas[[#This Row],[Custo Unitário]],"Erro ao calcular")</f>
        <v>11.5</v>
      </c>
    </row>
    <row r="50" spans="2:8" ht="16.2" x14ac:dyDescent="0.35">
      <c r="B50" s="52">
        <f>MONTH(TB_Entradas[[#This Row],[Data]])</f>
        <v>10</v>
      </c>
      <c r="C50" s="47">
        <v>44841</v>
      </c>
      <c r="D50" s="44" t="s">
        <v>25</v>
      </c>
      <c r="E50" s="37" t="s">
        <v>56</v>
      </c>
      <c r="F50" s="45">
        <v>35</v>
      </c>
      <c r="G50" s="46" cm="1">
        <f t="array" ref="G50">_xlfn.XLOOKUP(TB_Entradas[[#This Row],[Produto]],TB_Produtos[[#All],[Produto]],TB_Produtos[[#All],[Custo Unitário]],"Produto não Encontrado",0,1)</f>
        <v>0.25</v>
      </c>
      <c r="H50" s="46">
        <f>IFERROR(TB_Entradas[[#This Row],[Quantidade Comprada]]*TB_Entradas[[#This Row],[Custo Unitário]],"Erro ao calcular")</f>
        <v>8.75</v>
      </c>
    </row>
    <row r="51" spans="2:8" ht="16.2" x14ac:dyDescent="0.35">
      <c r="B51" s="52">
        <f>MONTH(TB_Entradas[[#This Row],[Data]])</f>
        <v>10</v>
      </c>
      <c r="C51" s="47">
        <v>44854</v>
      </c>
      <c r="D51" s="44" t="s">
        <v>6</v>
      </c>
      <c r="E51" s="37" t="s">
        <v>43</v>
      </c>
      <c r="F51" s="45">
        <v>100</v>
      </c>
      <c r="G51" s="46" cm="1">
        <f t="array" ref="G51">_xlfn.XLOOKUP(TB_Entradas[[#This Row],[Produto]],TB_Produtos[[#All],[Produto]],TB_Produtos[[#All],[Custo Unitário]],"Produto não Encontrado",0,1)</f>
        <v>2</v>
      </c>
      <c r="H51" s="46">
        <f>IFERROR(TB_Entradas[[#This Row],[Quantidade Comprada]]*TB_Entradas[[#This Row],[Custo Unitário]],"Erro ao calcular")</f>
        <v>200</v>
      </c>
    </row>
    <row r="52" spans="2:8" ht="16.2" x14ac:dyDescent="0.35">
      <c r="B52" s="52">
        <f>MONTH(TB_Entradas[[#This Row],[Data]])</f>
        <v>10</v>
      </c>
      <c r="C52" s="47">
        <v>44859</v>
      </c>
      <c r="D52" s="44" t="s">
        <v>10</v>
      </c>
      <c r="E52" s="37" t="s">
        <v>56</v>
      </c>
      <c r="F52" s="45">
        <v>55</v>
      </c>
      <c r="G52" s="46" cm="1">
        <f t="array" ref="G52">_xlfn.XLOOKUP(TB_Entradas[[#This Row],[Produto]],TB_Produtos[[#All],[Produto]],TB_Produtos[[#All],[Custo Unitário]],"Produto não Encontrado",0,1)</f>
        <v>0.5</v>
      </c>
      <c r="H52" s="46">
        <f>IFERROR(TB_Entradas[[#This Row],[Quantidade Comprada]]*TB_Entradas[[#This Row],[Custo Unitário]],"Erro ao calcular")</f>
        <v>27.5</v>
      </c>
    </row>
    <row r="53" spans="2:8" ht="16.2" x14ac:dyDescent="0.35">
      <c r="B53" s="52">
        <f>MONTH(TB_Entradas[[#This Row],[Data]])</f>
        <v>11</v>
      </c>
      <c r="C53" s="47">
        <v>44874</v>
      </c>
      <c r="D53" s="44" t="s">
        <v>29</v>
      </c>
      <c r="E53" s="37" t="s">
        <v>51</v>
      </c>
      <c r="F53" s="45">
        <v>100</v>
      </c>
      <c r="G53" s="46" cm="1">
        <f t="array" ref="G53">_xlfn.XLOOKUP(TB_Entradas[[#This Row],[Produto]],TB_Produtos[[#All],[Produto]],TB_Produtos[[#All],[Custo Unitário]],"Produto não Encontrado",0,1)</f>
        <v>0.25</v>
      </c>
      <c r="H53" s="46">
        <f>IFERROR(TB_Entradas[[#This Row],[Quantidade Comprada]]*TB_Entradas[[#This Row],[Custo Unitário]],"Erro ao calcular")</f>
        <v>25</v>
      </c>
    </row>
    <row r="54" spans="2:8" ht="16.2" x14ac:dyDescent="0.35">
      <c r="B54" s="52">
        <f>MONTH(TB_Entradas[[#This Row],[Data]])</f>
        <v>11</v>
      </c>
      <c r="C54" s="47">
        <v>44880</v>
      </c>
      <c r="D54" s="44" t="s">
        <v>6</v>
      </c>
      <c r="E54" s="37" t="s">
        <v>43</v>
      </c>
      <c r="F54" s="45">
        <v>80</v>
      </c>
      <c r="G54" s="46" cm="1">
        <f t="array" ref="G54">_xlfn.XLOOKUP(TB_Entradas[[#This Row],[Produto]],TB_Produtos[[#All],[Produto]],TB_Produtos[[#All],[Custo Unitário]],"Produto não Encontrado",0,1)</f>
        <v>2</v>
      </c>
      <c r="H54" s="46">
        <f>IFERROR(TB_Entradas[[#This Row],[Quantidade Comprada]]*TB_Entradas[[#This Row],[Custo Unitário]],"Erro ao calcular")</f>
        <v>160</v>
      </c>
    </row>
    <row r="55" spans="2:8" ht="16.2" x14ac:dyDescent="0.35">
      <c r="B55" s="52">
        <f>MONTH(TB_Entradas[[#This Row],[Data]])</f>
        <v>11</v>
      </c>
      <c r="C55" s="47">
        <v>44883</v>
      </c>
      <c r="D55" s="44" t="s">
        <v>19</v>
      </c>
      <c r="E55" s="37" t="s">
        <v>43</v>
      </c>
      <c r="F55" s="45">
        <v>45</v>
      </c>
      <c r="G55" s="46" cm="1">
        <f t="array" ref="G55">_xlfn.XLOOKUP(TB_Entradas[[#This Row],[Produto]],TB_Produtos[[#All],[Produto]],TB_Produtos[[#All],[Custo Unitário]],"Produto não Encontrado",0,1)</f>
        <v>0.25</v>
      </c>
      <c r="H55" s="46">
        <f>IFERROR(TB_Entradas[[#This Row],[Quantidade Comprada]]*TB_Entradas[[#This Row],[Custo Unitário]],"Erro ao calcular")</f>
        <v>11.25</v>
      </c>
    </row>
    <row r="56" spans="2:8" ht="16.2" x14ac:dyDescent="0.35">
      <c r="B56" s="52">
        <f>MONTH(TB_Entradas[[#This Row],[Data]])</f>
        <v>11</v>
      </c>
      <c r="C56" s="47">
        <v>44888</v>
      </c>
      <c r="D56" s="44" t="s">
        <v>25</v>
      </c>
      <c r="E56" s="37" t="s">
        <v>56</v>
      </c>
      <c r="F56" s="45">
        <v>20</v>
      </c>
      <c r="G56" s="46" cm="1">
        <f t="array" ref="G56">_xlfn.XLOOKUP(TB_Entradas[[#This Row],[Produto]],TB_Produtos[[#All],[Produto]],TB_Produtos[[#All],[Custo Unitário]],"Produto não Encontrado",0,1)</f>
        <v>0.25</v>
      </c>
      <c r="H56" s="46">
        <f>IFERROR(TB_Entradas[[#This Row],[Quantidade Comprada]]*TB_Entradas[[#This Row],[Custo Unitário]],"Erro ao calcular")</f>
        <v>5</v>
      </c>
    </row>
    <row r="57" spans="2:8" ht="16.2" x14ac:dyDescent="0.35">
      <c r="B57" s="52">
        <f>MONTH(TB_Entradas[[#This Row],[Data]])</f>
        <v>11</v>
      </c>
      <c r="C57" s="47">
        <v>44895</v>
      </c>
      <c r="D57" s="44" t="s">
        <v>10</v>
      </c>
      <c r="E57" s="37" t="s">
        <v>56</v>
      </c>
      <c r="F57" s="45">
        <v>35</v>
      </c>
      <c r="G57" s="46" cm="1">
        <f t="array" ref="G57">_xlfn.XLOOKUP(TB_Entradas[[#This Row],[Produto]],TB_Produtos[[#All],[Produto]],TB_Produtos[[#All],[Custo Unitário]],"Produto não Encontrado",0,1)</f>
        <v>0.5</v>
      </c>
      <c r="H57" s="46">
        <f>IFERROR(TB_Entradas[[#This Row],[Quantidade Comprada]]*TB_Entradas[[#This Row],[Custo Unitário]],"Erro ao calcular")</f>
        <v>17.5</v>
      </c>
    </row>
    <row r="58" spans="2:8" ht="16.2" x14ac:dyDescent="0.35">
      <c r="B58" s="52">
        <f>MONTH(TB_Entradas[[#This Row],[Data]])</f>
        <v>12</v>
      </c>
      <c r="C58" s="47">
        <v>44907</v>
      </c>
      <c r="D58" s="44" t="s">
        <v>6</v>
      </c>
      <c r="E58" s="37" t="s">
        <v>43</v>
      </c>
      <c r="F58" s="48">
        <v>200</v>
      </c>
      <c r="G58" s="46" cm="1">
        <f t="array" ref="G58">_xlfn.XLOOKUP(TB_Entradas[[#This Row],[Produto]],TB_Produtos[[#All],[Produto]],TB_Produtos[[#All],[Custo Unitário]],"Produto não Encontrado",0,1)</f>
        <v>2</v>
      </c>
      <c r="H58" s="46">
        <f>IFERROR(TB_Entradas[[#This Row],[Quantidade Comprada]]*TB_Entradas[[#This Row],[Custo Unitário]],"Erro ao calcular")</f>
        <v>400</v>
      </c>
    </row>
    <row r="59" spans="2:8" ht="16.2" x14ac:dyDescent="0.35">
      <c r="B59" s="52">
        <f>MONTH(TB_Entradas[[#This Row],[Data]])</f>
        <v>12</v>
      </c>
      <c r="C59" s="47">
        <v>44910</v>
      </c>
      <c r="D59" s="44" t="s">
        <v>19</v>
      </c>
      <c r="E59" s="37" t="s">
        <v>43</v>
      </c>
      <c r="F59" s="48">
        <v>40</v>
      </c>
      <c r="G59" s="46" cm="1">
        <f t="array" ref="G59">_xlfn.XLOOKUP(TB_Entradas[[#This Row],[Produto]],TB_Produtos[[#All],[Produto]],TB_Produtos[[#All],[Custo Unitário]],"Produto não Encontrado",0,1)</f>
        <v>0.25</v>
      </c>
      <c r="H59" s="46">
        <f>IFERROR(TB_Entradas[[#This Row],[Quantidade Comprada]]*TB_Entradas[[#This Row],[Custo Unitário]],"Erro ao calcular")</f>
        <v>10</v>
      </c>
    </row>
  </sheetData>
  <dataValidations count="1">
    <dataValidation type="list" allowBlank="1" showInputMessage="1" showErrorMessage="1" sqref="D6:D59" xr:uid="{30B5F2FC-77F0-434A-8A4F-A5BAEF973762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G63"/>
  <sheetViews>
    <sheetView showGridLines="0" zoomScale="140" zoomScaleNormal="140" workbookViewId="0">
      <selection activeCell="B6" sqref="B6:B62"/>
    </sheetView>
  </sheetViews>
  <sheetFormatPr defaultColWidth="9.109375" defaultRowHeight="14.4" x14ac:dyDescent="0.3"/>
  <cols>
    <col min="1" max="1" width="5.33203125" customWidth="1"/>
    <col min="2" max="2" width="7.21875" style="2" bestFit="1" customWidth="1"/>
    <col min="3" max="3" width="11.6640625" bestFit="1" customWidth="1"/>
    <col min="4" max="4" width="16.77734375" bestFit="1" customWidth="1"/>
    <col min="5" max="5" width="39.6640625" bestFit="1" customWidth="1"/>
    <col min="6" max="6" width="17.5546875" bestFit="1" customWidth="1"/>
    <col min="7" max="7" width="18.44140625" bestFit="1" customWidth="1"/>
  </cols>
  <sheetData>
    <row r="1" spans="2:7" s="29" customFormat="1" ht="60" customHeight="1" x14ac:dyDescent="0.3">
      <c r="E1" s="39" t="s">
        <v>65</v>
      </c>
      <c r="F1" s="30"/>
    </row>
    <row r="2" spans="2:7" s="34" customFormat="1" ht="6" customHeight="1" x14ac:dyDescent="0.3">
      <c r="F2" s="35"/>
    </row>
    <row r="5" spans="2:7" x14ac:dyDescent="0.3">
      <c r="B5" s="41" t="s">
        <v>111</v>
      </c>
      <c r="C5" s="41" t="s">
        <v>61</v>
      </c>
      <c r="D5" s="41" t="s">
        <v>1</v>
      </c>
      <c r="E5" s="41" t="s">
        <v>66</v>
      </c>
      <c r="F5" s="42" t="s">
        <v>5</v>
      </c>
      <c r="G5" s="42" t="s">
        <v>67</v>
      </c>
    </row>
    <row r="6" spans="2:7" ht="16.2" x14ac:dyDescent="0.35">
      <c r="B6" s="52">
        <f>MONTH(TB_Saídas[[#This Row],[Data]])</f>
        <v>1</v>
      </c>
      <c r="C6" s="43">
        <v>44566</v>
      </c>
      <c r="D6" s="44" t="s">
        <v>10</v>
      </c>
      <c r="E6" s="37">
        <v>30</v>
      </c>
      <c r="F6" s="53" cm="1">
        <f t="array" ref="F6">_xlfn.XLOOKUP(TB_Saídas[[#This Row],[Produto]],TB_Produtos[[#All],[Produto]],TB_Produtos[[#All],[Preço Unitário]],"Produto não Encontrado",0,1)</f>
        <v>6.5</v>
      </c>
      <c r="G6" s="46">
        <f>IFERROR(TB_Saídas[[#This Row],[Quantidade Vendida]]*TB_Saídas[[#This Row],[Preço Unitário]],"Não foi possível calcular")</f>
        <v>195</v>
      </c>
    </row>
    <row r="7" spans="2:7" ht="16.2" x14ac:dyDescent="0.35">
      <c r="B7" s="52">
        <f>MONTH(TB_Saídas[[#This Row],[Data]])</f>
        <v>1</v>
      </c>
      <c r="C7" s="43">
        <v>44567</v>
      </c>
      <c r="D7" s="44" t="s">
        <v>6</v>
      </c>
      <c r="E7" s="37">
        <v>80</v>
      </c>
      <c r="F7" s="53" cm="1">
        <f t="array" ref="F7">_xlfn.XLOOKUP(TB_Saídas[[#This Row],[Produto]],TB_Produtos[[#All],[Produto]],TB_Produtos[[#All],[Preço Unitário]],"Produto não Encontrado",0,1)</f>
        <v>6</v>
      </c>
      <c r="G7" s="46">
        <f>IFERROR(TB_Saídas[[#This Row],[Quantidade Vendida]]*TB_Saídas[[#This Row],[Preço Unitário]],"Não foi possível calcular")</f>
        <v>480</v>
      </c>
    </row>
    <row r="8" spans="2:7" ht="16.2" x14ac:dyDescent="0.35">
      <c r="B8" s="52">
        <f>MONTH(TB_Saídas[[#This Row],[Data]])</f>
        <v>1</v>
      </c>
      <c r="C8" s="43">
        <v>44581</v>
      </c>
      <c r="D8" s="44" t="s">
        <v>25</v>
      </c>
      <c r="E8" s="37">
        <v>50</v>
      </c>
      <c r="F8" s="53" cm="1">
        <f t="array" ref="F8">_xlfn.XLOOKUP(TB_Saídas[[#This Row],[Produto]],TB_Produtos[[#All],[Produto]],TB_Produtos[[#All],[Preço Unitário]],"Produto não Encontrado",0,1)</f>
        <v>7.5</v>
      </c>
      <c r="G8" s="46">
        <f>IFERROR(TB_Saídas[[#This Row],[Quantidade Vendida]]*TB_Saídas[[#This Row],[Preço Unitário]],"Não foi possível calcular")</f>
        <v>375</v>
      </c>
    </row>
    <row r="9" spans="2:7" ht="16.2" x14ac:dyDescent="0.35">
      <c r="B9" s="52">
        <f>MONTH(TB_Saídas[[#This Row],[Data]])</f>
        <v>1</v>
      </c>
      <c r="C9" s="43">
        <v>44586</v>
      </c>
      <c r="D9" s="44" t="s">
        <v>19</v>
      </c>
      <c r="E9" s="37">
        <v>50</v>
      </c>
      <c r="F9" s="53" cm="1">
        <f t="array" ref="F9">_xlfn.XLOOKUP(TB_Saídas[[#This Row],[Produto]],TB_Produtos[[#All],[Produto]],TB_Produtos[[#All],[Preço Unitário]],"Produto não Encontrado",0,1)</f>
        <v>8.5</v>
      </c>
      <c r="G9" s="46">
        <f>IFERROR(TB_Saídas[[#This Row],[Quantidade Vendida]]*TB_Saídas[[#This Row],[Preço Unitário]],"Não foi possível calcular")</f>
        <v>425</v>
      </c>
    </row>
    <row r="10" spans="2:7" ht="16.2" x14ac:dyDescent="0.35">
      <c r="B10" s="52">
        <f>MONTH(TB_Saídas[[#This Row],[Data]])</f>
        <v>2</v>
      </c>
      <c r="C10" s="43">
        <v>44597</v>
      </c>
      <c r="D10" s="44" t="s">
        <v>25</v>
      </c>
      <c r="E10" s="37">
        <v>30</v>
      </c>
      <c r="F10" s="53" cm="1">
        <f t="array" ref="F10">_xlfn.XLOOKUP(TB_Saídas[[#This Row],[Produto]],TB_Produtos[[#All],[Produto]],TB_Produtos[[#All],[Preço Unitário]],"Produto não Encontrado",0,1)</f>
        <v>7.5</v>
      </c>
      <c r="G10" s="46">
        <f>IFERROR(TB_Saídas[[#This Row],[Quantidade Vendida]]*TB_Saídas[[#This Row],[Preço Unitário]],"Não foi possível calcular")</f>
        <v>225</v>
      </c>
    </row>
    <row r="11" spans="2:7" ht="16.2" x14ac:dyDescent="0.35">
      <c r="B11" s="52">
        <f>MONTH(TB_Saídas[[#This Row],[Data]])</f>
        <v>2</v>
      </c>
      <c r="C11" s="43">
        <v>44598</v>
      </c>
      <c r="D11" s="44" t="s">
        <v>6</v>
      </c>
      <c r="E11" s="37">
        <v>110</v>
      </c>
      <c r="F11" s="53" cm="1">
        <f t="array" ref="F11">_xlfn.XLOOKUP(TB_Saídas[[#This Row],[Produto]],TB_Produtos[[#All],[Produto]],TB_Produtos[[#All],[Preço Unitário]],"Produto não Encontrado",0,1)</f>
        <v>6</v>
      </c>
      <c r="G11" s="46">
        <f>IFERROR(TB_Saídas[[#This Row],[Quantidade Vendida]]*TB_Saídas[[#This Row],[Preço Unitário]],"Não foi possível calcular")</f>
        <v>660</v>
      </c>
    </row>
    <row r="12" spans="2:7" ht="16.2" x14ac:dyDescent="0.35">
      <c r="B12" s="52">
        <f>MONTH(TB_Saídas[[#This Row],[Data]])</f>
        <v>2</v>
      </c>
      <c r="C12" s="43">
        <v>44602</v>
      </c>
      <c r="D12" s="44" t="s">
        <v>19</v>
      </c>
      <c r="E12" s="37">
        <v>75</v>
      </c>
      <c r="F12" s="53" cm="1">
        <f t="array" ref="F12">_xlfn.XLOOKUP(TB_Saídas[[#This Row],[Produto]],TB_Produtos[[#All],[Produto]],TB_Produtos[[#All],[Preço Unitário]],"Produto não Encontrado",0,1)</f>
        <v>8.5</v>
      </c>
      <c r="G12" s="46">
        <f>IFERROR(TB_Saídas[[#This Row],[Quantidade Vendida]]*TB_Saídas[[#This Row],[Preço Unitário]],"Não foi possível calcular")</f>
        <v>637.5</v>
      </c>
    </row>
    <row r="13" spans="2:7" ht="16.2" x14ac:dyDescent="0.35">
      <c r="B13" s="52">
        <f>MONTH(TB_Saídas[[#This Row],[Data]])</f>
        <v>2</v>
      </c>
      <c r="C13" s="43">
        <v>44620</v>
      </c>
      <c r="D13" s="44" t="s">
        <v>10</v>
      </c>
      <c r="E13" s="37">
        <v>20</v>
      </c>
      <c r="F13" s="53" cm="1">
        <f t="array" ref="F13">_xlfn.XLOOKUP(TB_Saídas[[#This Row],[Produto]],TB_Produtos[[#All],[Produto]],TB_Produtos[[#All],[Preço Unitário]],"Produto não Encontrado",0,1)</f>
        <v>6.5</v>
      </c>
      <c r="G13" s="46">
        <f>IFERROR(TB_Saídas[[#This Row],[Quantidade Vendida]]*TB_Saídas[[#This Row],[Preço Unitário]],"Não foi possível calcular")</f>
        <v>130</v>
      </c>
    </row>
    <row r="14" spans="2:7" ht="16.2" x14ac:dyDescent="0.35">
      <c r="B14" s="52">
        <f>MONTH(TB_Saídas[[#This Row],[Data]])</f>
        <v>3</v>
      </c>
      <c r="C14" s="43">
        <v>44626</v>
      </c>
      <c r="D14" s="44" t="s">
        <v>36</v>
      </c>
      <c r="E14" s="37">
        <v>110</v>
      </c>
      <c r="F14" s="53" cm="1">
        <f t="array" ref="F14">_xlfn.XLOOKUP(TB_Saídas[[#This Row],[Produto]],TB_Produtos[[#All],[Produto]],TB_Produtos[[#All],[Preço Unitário]],"Produto não Encontrado",0,1)</f>
        <v>8</v>
      </c>
      <c r="G14" s="46">
        <f>IFERROR(TB_Saídas[[#This Row],[Quantidade Vendida]]*TB_Saídas[[#This Row],[Preço Unitário]],"Não foi possível calcular")</f>
        <v>880</v>
      </c>
    </row>
    <row r="15" spans="2:7" ht="16.2" x14ac:dyDescent="0.35">
      <c r="B15" s="52">
        <f>MONTH(TB_Saídas[[#This Row],[Data]])</f>
        <v>3</v>
      </c>
      <c r="C15" s="43">
        <v>44631</v>
      </c>
      <c r="D15" s="44" t="s">
        <v>25</v>
      </c>
      <c r="E15" s="37">
        <v>40</v>
      </c>
      <c r="F15" s="53" cm="1">
        <f t="array" ref="F15">_xlfn.XLOOKUP(TB_Saídas[[#This Row],[Produto]],TB_Produtos[[#All],[Produto]],TB_Produtos[[#All],[Preço Unitário]],"Produto não Encontrado",0,1)</f>
        <v>7.5</v>
      </c>
      <c r="G15" s="46">
        <f>IFERROR(TB_Saídas[[#This Row],[Quantidade Vendida]]*TB_Saídas[[#This Row],[Preço Unitário]],"Não foi possível calcular")</f>
        <v>300</v>
      </c>
    </row>
    <row r="16" spans="2:7" ht="16.2" x14ac:dyDescent="0.35">
      <c r="B16" s="52">
        <f>MONTH(TB_Saídas[[#This Row],[Data]])</f>
        <v>3</v>
      </c>
      <c r="C16" s="43">
        <v>44646</v>
      </c>
      <c r="D16" s="44" t="s">
        <v>19</v>
      </c>
      <c r="E16" s="37">
        <v>50</v>
      </c>
      <c r="F16" s="53" cm="1">
        <f t="array" ref="F16">_xlfn.XLOOKUP(TB_Saídas[[#This Row],[Produto]],TB_Produtos[[#All],[Produto]],TB_Produtos[[#All],[Preço Unitário]],"Produto não Encontrado",0,1)</f>
        <v>8.5</v>
      </c>
      <c r="G16" s="46">
        <f>IFERROR(TB_Saídas[[#This Row],[Quantidade Vendida]]*TB_Saídas[[#This Row],[Preço Unitário]],"Não foi possível calcular")</f>
        <v>425</v>
      </c>
    </row>
    <row r="17" spans="2:7" ht="16.2" x14ac:dyDescent="0.35">
      <c r="B17" s="52">
        <f>MONTH(TB_Saídas[[#This Row],[Data]])</f>
        <v>3</v>
      </c>
      <c r="C17" s="43">
        <v>44649</v>
      </c>
      <c r="D17" s="44" t="s">
        <v>10</v>
      </c>
      <c r="E17" s="37">
        <v>15</v>
      </c>
      <c r="F17" s="53" cm="1">
        <f t="array" ref="F17">_xlfn.XLOOKUP(TB_Saídas[[#This Row],[Produto]],TB_Produtos[[#All],[Produto]],TB_Produtos[[#All],[Preço Unitário]],"Produto não Encontrado",0,1)</f>
        <v>6.5</v>
      </c>
      <c r="G17" s="46">
        <f>IFERROR(TB_Saídas[[#This Row],[Quantidade Vendida]]*TB_Saídas[[#This Row],[Preço Unitário]],"Não foi possível calcular")</f>
        <v>97.5</v>
      </c>
    </row>
    <row r="18" spans="2:7" ht="16.2" x14ac:dyDescent="0.35">
      <c r="B18" s="52">
        <f>MONTH(TB_Saídas[[#This Row],[Data]])</f>
        <v>3</v>
      </c>
      <c r="C18" s="43">
        <v>44630</v>
      </c>
      <c r="D18" s="44" t="s">
        <v>6</v>
      </c>
      <c r="E18" s="37">
        <v>100</v>
      </c>
      <c r="F18" s="53" cm="1">
        <f t="array" ref="F18">_xlfn.XLOOKUP(TB_Saídas[[#This Row],[Produto]],TB_Produtos[[#All],[Produto]],TB_Produtos[[#All],[Preço Unitário]],"Produto não Encontrado",0,1)</f>
        <v>6</v>
      </c>
      <c r="G18" s="46">
        <f>IFERROR(TB_Saídas[[#This Row],[Quantidade Vendida]]*TB_Saídas[[#This Row],[Preço Unitário]],"Não foi possível calcular")</f>
        <v>600</v>
      </c>
    </row>
    <row r="19" spans="2:7" ht="16.2" x14ac:dyDescent="0.35">
      <c r="B19" s="52">
        <f>MONTH(TB_Saídas[[#This Row],[Data]])</f>
        <v>4</v>
      </c>
      <c r="C19" s="43">
        <v>44659</v>
      </c>
      <c r="D19" s="44" t="s">
        <v>10</v>
      </c>
      <c r="E19" s="37">
        <v>40</v>
      </c>
      <c r="F19" s="53" cm="1">
        <f t="array" ref="F19">_xlfn.XLOOKUP(TB_Saídas[[#This Row],[Produto]],TB_Produtos[[#All],[Produto]],TB_Produtos[[#All],[Preço Unitário]],"Produto não Encontrado",0,1)</f>
        <v>6.5</v>
      </c>
      <c r="G19" s="46">
        <f>IFERROR(TB_Saídas[[#This Row],[Quantidade Vendida]]*TB_Saídas[[#This Row],[Preço Unitário]],"Não foi possível calcular")</f>
        <v>260</v>
      </c>
    </row>
    <row r="20" spans="2:7" ht="16.2" x14ac:dyDescent="0.35">
      <c r="B20" s="52">
        <f>MONTH(TB_Saídas[[#This Row],[Data]])</f>
        <v>4</v>
      </c>
      <c r="C20" s="43">
        <v>44663</v>
      </c>
      <c r="D20" s="44" t="s">
        <v>6</v>
      </c>
      <c r="E20" s="37">
        <v>75</v>
      </c>
      <c r="F20" s="53" cm="1">
        <f t="array" ref="F20">_xlfn.XLOOKUP(TB_Saídas[[#This Row],[Produto]],TB_Produtos[[#All],[Produto]],TB_Produtos[[#All],[Preço Unitário]],"Produto não Encontrado",0,1)</f>
        <v>6</v>
      </c>
      <c r="G20" s="46">
        <f>IFERROR(TB_Saídas[[#This Row],[Quantidade Vendida]]*TB_Saídas[[#This Row],[Preço Unitário]],"Não foi possível calcular")</f>
        <v>450</v>
      </c>
    </row>
    <row r="21" spans="2:7" ht="16.2" x14ac:dyDescent="0.35">
      <c r="B21" s="52">
        <f>MONTH(TB_Saídas[[#This Row],[Data]])</f>
        <v>4</v>
      </c>
      <c r="C21" s="43">
        <v>44667</v>
      </c>
      <c r="D21" s="44" t="s">
        <v>31</v>
      </c>
      <c r="E21" s="37">
        <v>25</v>
      </c>
      <c r="F21" s="53" cm="1">
        <f t="array" ref="F21">_xlfn.XLOOKUP(TB_Saídas[[#This Row],[Produto]],TB_Produtos[[#All],[Produto]],TB_Produtos[[#All],[Preço Unitário]],"Produto não Encontrado",0,1)</f>
        <v>8</v>
      </c>
      <c r="G21" s="46">
        <f>IFERROR(TB_Saídas[[#This Row],[Quantidade Vendida]]*TB_Saídas[[#This Row],[Preço Unitário]],"Não foi possível calcular")</f>
        <v>200</v>
      </c>
    </row>
    <row r="22" spans="2:7" ht="16.2" x14ac:dyDescent="0.35">
      <c r="B22" s="52">
        <f>MONTH(TB_Saídas[[#This Row],[Data]])</f>
        <v>4</v>
      </c>
      <c r="C22" s="43">
        <v>44671</v>
      </c>
      <c r="D22" s="44" t="s">
        <v>25</v>
      </c>
      <c r="E22" s="37">
        <v>40</v>
      </c>
      <c r="F22" s="53" cm="1">
        <f t="array" ref="F22">_xlfn.XLOOKUP(TB_Saídas[[#This Row],[Produto]],TB_Produtos[[#All],[Produto]],TB_Produtos[[#All],[Preço Unitário]],"Produto não Encontrado",0,1)</f>
        <v>7.5</v>
      </c>
      <c r="G22" s="46">
        <f>IFERROR(TB_Saídas[[#This Row],[Quantidade Vendida]]*TB_Saídas[[#This Row],[Preço Unitário]],"Não foi possível calcular")</f>
        <v>300</v>
      </c>
    </row>
    <row r="23" spans="2:7" ht="16.2" x14ac:dyDescent="0.35">
      <c r="B23" s="52">
        <f>MONTH(TB_Saídas[[#This Row],[Data]])</f>
        <v>4</v>
      </c>
      <c r="C23" s="43">
        <v>44681</v>
      </c>
      <c r="D23" s="44" t="s">
        <v>19</v>
      </c>
      <c r="E23" s="37">
        <v>35</v>
      </c>
      <c r="F23" s="53" cm="1">
        <f t="array" ref="F23">_xlfn.XLOOKUP(TB_Saídas[[#This Row],[Produto]],TB_Produtos[[#All],[Produto]],TB_Produtos[[#All],[Preço Unitário]],"Produto não Encontrado",0,1)</f>
        <v>8.5</v>
      </c>
      <c r="G23" s="46">
        <f>IFERROR(TB_Saídas[[#This Row],[Quantidade Vendida]]*TB_Saídas[[#This Row],[Preço Unitário]],"Não foi possível calcular")</f>
        <v>297.5</v>
      </c>
    </row>
    <row r="24" spans="2:7" ht="16.2" x14ac:dyDescent="0.35">
      <c r="B24" s="52">
        <f>MONTH(TB_Saídas[[#This Row],[Data]])</f>
        <v>5</v>
      </c>
      <c r="C24" s="43">
        <v>44691</v>
      </c>
      <c r="D24" s="44" t="s">
        <v>25</v>
      </c>
      <c r="E24" s="37">
        <v>35</v>
      </c>
      <c r="F24" s="53" cm="1">
        <f t="array" ref="F24">_xlfn.XLOOKUP(TB_Saídas[[#This Row],[Produto]],TB_Produtos[[#All],[Produto]],TB_Produtos[[#All],[Preço Unitário]],"Produto não Encontrado",0,1)</f>
        <v>7.5</v>
      </c>
      <c r="G24" s="46">
        <f>IFERROR(TB_Saídas[[#This Row],[Quantidade Vendida]]*TB_Saídas[[#This Row],[Preço Unitário]],"Não foi possível calcular")</f>
        <v>262.5</v>
      </c>
    </row>
    <row r="25" spans="2:7" ht="16.2" x14ac:dyDescent="0.35">
      <c r="B25" s="52">
        <f>MONTH(TB_Saídas[[#This Row],[Data]])</f>
        <v>5</v>
      </c>
      <c r="C25" s="43">
        <v>44692</v>
      </c>
      <c r="D25" s="44" t="s">
        <v>27</v>
      </c>
      <c r="E25" s="37">
        <v>20</v>
      </c>
      <c r="F25" s="53" cm="1">
        <f t="array" ref="F25">_xlfn.XLOOKUP(TB_Saídas[[#This Row],[Produto]],TB_Produtos[[#All],[Produto]],TB_Produtos[[#All],[Preço Unitário]],"Produto não Encontrado",0,1)</f>
        <v>15</v>
      </c>
      <c r="G25" s="46">
        <f>IFERROR(TB_Saídas[[#This Row],[Quantidade Vendida]]*TB_Saídas[[#This Row],[Preço Unitário]],"Não foi possível calcular")</f>
        <v>300</v>
      </c>
    </row>
    <row r="26" spans="2:7" ht="16.2" x14ac:dyDescent="0.35">
      <c r="B26" s="52">
        <f>MONTH(TB_Saídas[[#This Row],[Data]])</f>
        <v>5</v>
      </c>
      <c r="C26" s="43">
        <v>44692</v>
      </c>
      <c r="D26" s="44" t="s">
        <v>6</v>
      </c>
      <c r="E26" s="37">
        <v>75</v>
      </c>
      <c r="F26" s="53" cm="1">
        <f t="array" ref="F26">_xlfn.XLOOKUP(TB_Saídas[[#This Row],[Produto]],TB_Produtos[[#All],[Produto]],TB_Produtos[[#All],[Preço Unitário]],"Produto não Encontrado",0,1)</f>
        <v>6</v>
      </c>
      <c r="G26" s="46">
        <f>IFERROR(TB_Saídas[[#This Row],[Quantidade Vendida]]*TB_Saídas[[#This Row],[Preço Unitário]],"Não foi possível calcular")</f>
        <v>450</v>
      </c>
    </row>
    <row r="27" spans="2:7" ht="16.2" x14ac:dyDescent="0.35">
      <c r="B27" s="52">
        <f>MONTH(TB_Saídas[[#This Row],[Data]])</f>
        <v>5</v>
      </c>
      <c r="C27" s="43">
        <v>44700</v>
      </c>
      <c r="D27" s="44" t="s">
        <v>19</v>
      </c>
      <c r="E27" s="37">
        <v>27</v>
      </c>
      <c r="F27" s="53" cm="1">
        <f t="array" ref="F27">_xlfn.XLOOKUP(TB_Saídas[[#This Row],[Produto]],TB_Produtos[[#All],[Produto]],TB_Produtos[[#All],[Preço Unitário]],"Produto não Encontrado",0,1)</f>
        <v>8.5</v>
      </c>
      <c r="G27" s="46">
        <f>IFERROR(TB_Saídas[[#This Row],[Quantidade Vendida]]*TB_Saídas[[#This Row],[Preço Unitário]],"Não foi possível calcular")</f>
        <v>229.5</v>
      </c>
    </row>
    <row r="28" spans="2:7" ht="16.2" x14ac:dyDescent="0.35">
      <c r="B28" s="52">
        <f>MONTH(TB_Saídas[[#This Row],[Data]])</f>
        <v>5</v>
      </c>
      <c r="C28" s="43">
        <v>44700</v>
      </c>
      <c r="D28" s="44" t="s">
        <v>10</v>
      </c>
      <c r="E28" s="37">
        <v>20</v>
      </c>
      <c r="F28" s="53" cm="1">
        <f t="array" ref="F28">_xlfn.XLOOKUP(TB_Saídas[[#This Row],[Produto]],TB_Produtos[[#All],[Produto]],TB_Produtos[[#All],[Preço Unitário]],"Produto não Encontrado",0,1)</f>
        <v>6.5</v>
      </c>
      <c r="G28" s="46">
        <f>IFERROR(TB_Saídas[[#This Row],[Quantidade Vendida]]*TB_Saídas[[#This Row],[Preço Unitário]],"Não foi possível calcular")</f>
        <v>130</v>
      </c>
    </row>
    <row r="29" spans="2:7" ht="16.2" x14ac:dyDescent="0.35">
      <c r="B29" s="52">
        <f>MONTH(TB_Saídas[[#This Row],[Data]])</f>
        <v>6</v>
      </c>
      <c r="C29" s="43">
        <v>44737</v>
      </c>
      <c r="D29" s="44" t="s">
        <v>19</v>
      </c>
      <c r="E29" s="37">
        <v>35</v>
      </c>
      <c r="F29" s="53" cm="1">
        <f t="array" ref="F29">_xlfn.XLOOKUP(TB_Saídas[[#This Row],[Produto]],TB_Produtos[[#All],[Produto]],TB_Produtos[[#All],[Preço Unitário]],"Produto não Encontrado",0,1)</f>
        <v>8.5</v>
      </c>
      <c r="G29" s="46">
        <f>IFERROR(TB_Saídas[[#This Row],[Quantidade Vendida]]*TB_Saídas[[#This Row],[Preço Unitário]],"Não foi possível calcular")</f>
        <v>297.5</v>
      </c>
    </row>
    <row r="30" spans="2:7" ht="16.2" x14ac:dyDescent="0.35">
      <c r="B30" s="52">
        <f>MONTH(TB_Saídas[[#This Row],[Data]])</f>
        <v>6</v>
      </c>
      <c r="C30" s="43">
        <v>44738</v>
      </c>
      <c r="D30" s="44" t="s">
        <v>6</v>
      </c>
      <c r="E30" s="37">
        <v>100</v>
      </c>
      <c r="F30" s="53" cm="1">
        <f t="array" ref="F30">_xlfn.XLOOKUP(TB_Saídas[[#This Row],[Produto]],TB_Produtos[[#All],[Produto]],TB_Produtos[[#All],[Preço Unitário]],"Produto não Encontrado",0,1)</f>
        <v>6</v>
      </c>
      <c r="G30" s="46">
        <f>IFERROR(TB_Saídas[[#This Row],[Quantidade Vendida]]*TB_Saídas[[#This Row],[Preço Unitário]],"Não foi possível calcular")</f>
        <v>600</v>
      </c>
    </row>
    <row r="31" spans="2:7" ht="16.2" x14ac:dyDescent="0.35">
      <c r="B31" s="52">
        <f>MONTH(TB_Saídas[[#This Row],[Data]])</f>
        <v>6</v>
      </c>
      <c r="C31" s="43">
        <v>44738</v>
      </c>
      <c r="D31" s="44" t="s">
        <v>25</v>
      </c>
      <c r="E31" s="37">
        <v>20</v>
      </c>
      <c r="F31" s="53" cm="1">
        <f t="array" ref="F31">_xlfn.XLOOKUP(TB_Saídas[[#This Row],[Produto]],TB_Produtos[[#All],[Produto]],TB_Produtos[[#All],[Preço Unitário]],"Produto não Encontrado",0,1)</f>
        <v>7.5</v>
      </c>
      <c r="G31" s="46">
        <f>IFERROR(TB_Saídas[[#This Row],[Quantidade Vendida]]*TB_Saídas[[#This Row],[Preço Unitário]],"Não foi possível calcular")</f>
        <v>150</v>
      </c>
    </row>
    <row r="32" spans="2:7" ht="16.2" x14ac:dyDescent="0.35">
      <c r="B32" s="52">
        <f>MONTH(TB_Saídas[[#This Row],[Data]])</f>
        <v>6</v>
      </c>
      <c r="C32" s="43">
        <v>44739</v>
      </c>
      <c r="D32" s="44" t="s">
        <v>10</v>
      </c>
      <c r="E32" s="37">
        <v>15</v>
      </c>
      <c r="F32" s="53" cm="1">
        <f t="array" ref="F32">_xlfn.XLOOKUP(TB_Saídas[[#This Row],[Produto]],TB_Produtos[[#All],[Produto]],TB_Produtos[[#All],[Preço Unitário]],"Produto não Encontrado",0,1)</f>
        <v>6.5</v>
      </c>
      <c r="G32" s="46">
        <f>IFERROR(TB_Saídas[[#This Row],[Quantidade Vendida]]*TB_Saídas[[#This Row],[Preço Unitário]],"Não foi possível calcular")</f>
        <v>97.5</v>
      </c>
    </row>
    <row r="33" spans="2:7" ht="16.2" x14ac:dyDescent="0.35">
      <c r="B33" s="52">
        <f>MONTH(TB_Saídas[[#This Row],[Data]])</f>
        <v>7</v>
      </c>
      <c r="C33" s="43">
        <v>44749</v>
      </c>
      <c r="D33" s="44" t="s">
        <v>26</v>
      </c>
      <c r="E33" s="37">
        <v>40</v>
      </c>
      <c r="F33" s="53" cm="1">
        <f t="array" ref="F33">_xlfn.XLOOKUP(TB_Saídas[[#This Row],[Produto]],TB_Produtos[[#All],[Produto]],TB_Produtos[[#All],[Preço Unitário]],"Produto não Encontrado",0,1)</f>
        <v>10</v>
      </c>
      <c r="G33" s="46">
        <f>IFERROR(TB_Saídas[[#This Row],[Quantidade Vendida]]*TB_Saídas[[#This Row],[Preço Unitário]],"Não foi possível calcular")</f>
        <v>400</v>
      </c>
    </row>
    <row r="34" spans="2:7" ht="16.2" x14ac:dyDescent="0.35">
      <c r="B34" s="52">
        <f>MONTH(TB_Saídas[[#This Row],[Data]])</f>
        <v>7</v>
      </c>
      <c r="C34" s="43">
        <v>44749</v>
      </c>
      <c r="D34" s="44" t="s">
        <v>6</v>
      </c>
      <c r="E34" s="37">
        <v>90</v>
      </c>
      <c r="F34" s="53" cm="1">
        <f t="array" ref="F34">_xlfn.XLOOKUP(TB_Saídas[[#This Row],[Produto]],TB_Produtos[[#All],[Produto]],TB_Produtos[[#All],[Preço Unitário]],"Produto não Encontrado",0,1)</f>
        <v>6</v>
      </c>
      <c r="G34" s="46">
        <f>IFERROR(TB_Saídas[[#This Row],[Quantidade Vendida]]*TB_Saídas[[#This Row],[Preço Unitário]],"Não foi possível calcular")</f>
        <v>540</v>
      </c>
    </row>
    <row r="35" spans="2:7" ht="16.2" x14ac:dyDescent="0.35">
      <c r="B35" s="52">
        <f>MONTH(TB_Saídas[[#This Row],[Data]])</f>
        <v>7</v>
      </c>
      <c r="C35" s="43">
        <v>44758</v>
      </c>
      <c r="D35" s="44" t="s">
        <v>10</v>
      </c>
      <c r="E35" s="37">
        <v>35</v>
      </c>
      <c r="F35" s="53" cm="1">
        <f t="array" ref="F35">_xlfn.XLOOKUP(TB_Saídas[[#This Row],[Produto]],TB_Produtos[[#All],[Produto]],TB_Produtos[[#All],[Preço Unitário]],"Produto não Encontrado",0,1)</f>
        <v>6.5</v>
      </c>
      <c r="G35" s="46">
        <f>IFERROR(TB_Saídas[[#This Row],[Quantidade Vendida]]*TB_Saídas[[#This Row],[Preço Unitário]],"Não foi possível calcular")</f>
        <v>227.5</v>
      </c>
    </row>
    <row r="36" spans="2:7" ht="16.2" x14ac:dyDescent="0.35">
      <c r="B36" s="52">
        <f>MONTH(TB_Saídas[[#This Row],[Data]])</f>
        <v>7</v>
      </c>
      <c r="C36" s="43">
        <v>44765</v>
      </c>
      <c r="D36" s="44" t="s">
        <v>19</v>
      </c>
      <c r="E36" s="37">
        <v>75</v>
      </c>
      <c r="F36" s="53" cm="1">
        <f t="array" ref="F36">_xlfn.XLOOKUP(TB_Saídas[[#This Row],[Produto]],TB_Produtos[[#All],[Produto]],TB_Produtos[[#All],[Preço Unitário]],"Produto não Encontrado",0,1)</f>
        <v>8.5</v>
      </c>
      <c r="G36" s="46">
        <f>IFERROR(TB_Saídas[[#This Row],[Quantidade Vendida]]*TB_Saídas[[#This Row],[Preço Unitário]],"Não foi possível calcular")</f>
        <v>637.5</v>
      </c>
    </row>
    <row r="37" spans="2:7" ht="16.2" x14ac:dyDescent="0.35">
      <c r="B37" s="52">
        <f>MONTH(TB_Saídas[[#This Row],[Data]])</f>
        <v>7</v>
      </c>
      <c r="C37" s="43">
        <v>44772</v>
      </c>
      <c r="D37" s="44" t="s">
        <v>25</v>
      </c>
      <c r="E37" s="37">
        <v>55</v>
      </c>
      <c r="F37" s="53" cm="1">
        <f t="array" ref="F37">_xlfn.XLOOKUP(TB_Saídas[[#This Row],[Produto]],TB_Produtos[[#All],[Produto]],TB_Produtos[[#All],[Preço Unitário]],"Produto não Encontrado",0,1)</f>
        <v>7.5</v>
      </c>
      <c r="G37" s="46">
        <f>IFERROR(TB_Saídas[[#This Row],[Quantidade Vendida]]*TB_Saídas[[#This Row],[Preço Unitário]],"Não foi possível calcular")</f>
        <v>412.5</v>
      </c>
    </row>
    <row r="38" spans="2:7" ht="16.2" x14ac:dyDescent="0.35">
      <c r="B38" s="52">
        <f>MONTH(TB_Saídas[[#This Row],[Data]])</f>
        <v>8</v>
      </c>
      <c r="C38" s="43">
        <v>44792</v>
      </c>
      <c r="D38" s="44" t="s">
        <v>10</v>
      </c>
      <c r="E38" s="37">
        <v>12</v>
      </c>
      <c r="F38" s="53" cm="1">
        <f t="array" ref="F38">_xlfn.XLOOKUP(TB_Saídas[[#This Row],[Produto]],TB_Produtos[[#All],[Produto]],TB_Produtos[[#All],[Preço Unitário]],"Produto não Encontrado",0,1)</f>
        <v>6.5</v>
      </c>
      <c r="G38" s="46">
        <f>IFERROR(TB_Saídas[[#This Row],[Quantidade Vendida]]*TB_Saídas[[#This Row],[Preço Unitário]],"Não foi possível calcular")</f>
        <v>78</v>
      </c>
    </row>
    <row r="39" spans="2:7" ht="16.2" x14ac:dyDescent="0.35">
      <c r="B39" s="52">
        <f>MONTH(TB_Saídas[[#This Row],[Data]])</f>
        <v>8</v>
      </c>
      <c r="C39" s="43">
        <v>44794</v>
      </c>
      <c r="D39" s="44" t="s">
        <v>19</v>
      </c>
      <c r="E39" s="37">
        <v>36</v>
      </c>
      <c r="F39" s="53" cm="1">
        <f t="array" ref="F39">_xlfn.XLOOKUP(TB_Saídas[[#This Row],[Produto]],TB_Produtos[[#All],[Produto]],TB_Produtos[[#All],[Preço Unitário]],"Produto não Encontrado",0,1)</f>
        <v>8.5</v>
      </c>
      <c r="G39" s="46">
        <f>IFERROR(TB_Saídas[[#This Row],[Quantidade Vendida]]*TB_Saídas[[#This Row],[Preço Unitário]],"Não foi possível calcular")</f>
        <v>306</v>
      </c>
    </row>
    <row r="40" spans="2:7" ht="16.2" x14ac:dyDescent="0.35">
      <c r="B40" s="52">
        <f>MONTH(TB_Saídas[[#This Row],[Data]])</f>
        <v>8</v>
      </c>
      <c r="C40" s="43">
        <v>44803</v>
      </c>
      <c r="D40" s="44" t="s">
        <v>23</v>
      </c>
      <c r="E40" s="37">
        <v>90</v>
      </c>
      <c r="F40" s="53" cm="1">
        <f t="array" ref="F40">_xlfn.XLOOKUP(TB_Saídas[[#This Row],[Produto]],TB_Produtos[[#All],[Produto]],TB_Produtos[[#All],[Preço Unitário]],"Produto não Encontrado",0,1)</f>
        <v>5</v>
      </c>
      <c r="G40" s="46">
        <f>IFERROR(TB_Saídas[[#This Row],[Quantidade Vendida]]*TB_Saídas[[#This Row],[Preço Unitário]],"Não foi possível calcular")</f>
        <v>450</v>
      </c>
    </row>
    <row r="41" spans="2:7" ht="16.2" x14ac:dyDescent="0.35">
      <c r="B41" s="52">
        <f>MONTH(TB_Saídas[[#This Row],[Data]])</f>
        <v>8</v>
      </c>
      <c r="C41" s="43">
        <v>44803</v>
      </c>
      <c r="D41" s="44" t="s">
        <v>25</v>
      </c>
      <c r="E41" s="37">
        <v>25</v>
      </c>
      <c r="F41" s="53" cm="1">
        <f t="array" ref="F41">_xlfn.XLOOKUP(TB_Saídas[[#This Row],[Produto]],TB_Produtos[[#All],[Produto]],TB_Produtos[[#All],[Preço Unitário]],"Produto não Encontrado",0,1)</f>
        <v>7.5</v>
      </c>
      <c r="G41" s="46">
        <f>IFERROR(TB_Saídas[[#This Row],[Quantidade Vendida]]*TB_Saídas[[#This Row],[Preço Unitário]],"Não foi possível calcular")</f>
        <v>187.5</v>
      </c>
    </row>
    <row r="42" spans="2:7" ht="16.2" x14ac:dyDescent="0.35">
      <c r="B42" s="52">
        <f>MONTH(TB_Saídas[[#This Row],[Data]])</f>
        <v>8</v>
      </c>
      <c r="C42" s="43">
        <v>44803</v>
      </c>
      <c r="D42" s="44" t="s">
        <v>6</v>
      </c>
      <c r="E42" s="37">
        <v>100</v>
      </c>
      <c r="F42" s="53" cm="1">
        <f t="array" ref="F42">_xlfn.XLOOKUP(TB_Saídas[[#This Row],[Produto]],TB_Produtos[[#All],[Produto]],TB_Produtos[[#All],[Preço Unitário]],"Produto não Encontrado",0,1)</f>
        <v>6</v>
      </c>
      <c r="G42" s="46">
        <f>IFERROR(TB_Saídas[[#This Row],[Quantidade Vendida]]*TB_Saídas[[#This Row],[Preço Unitário]],"Não foi possível calcular")</f>
        <v>600</v>
      </c>
    </row>
    <row r="43" spans="2:7" ht="16.2" x14ac:dyDescent="0.35">
      <c r="B43" s="52">
        <f>MONTH(TB_Saídas[[#This Row],[Data]])</f>
        <v>9</v>
      </c>
      <c r="C43" s="43">
        <v>44811</v>
      </c>
      <c r="D43" s="44" t="s">
        <v>36</v>
      </c>
      <c r="E43" s="37">
        <v>100</v>
      </c>
      <c r="F43" s="53" cm="1">
        <f t="array" ref="F43">_xlfn.XLOOKUP(TB_Saídas[[#This Row],[Produto]],TB_Produtos[[#All],[Produto]],TB_Produtos[[#All],[Preço Unitário]],"Produto não Encontrado",0,1)</f>
        <v>8</v>
      </c>
      <c r="G43" s="46">
        <f>IFERROR(TB_Saídas[[#This Row],[Quantidade Vendida]]*TB_Saídas[[#This Row],[Preço Unitário]],"Não foi possível calcular")</f>
        <v>800</v>
      </c>
    </row>
    <row r="44" spans="2:7" ht="16.2" x14ac:dyDescent="0.35">
      <c r="B44" s="52">
        <f>MONTH(TB_Saídas[[#This Row],[Data]])</f>
        <v>9</v>
      </c>
      <c r="C44" s="43">
        <v>44811</v>
      </c>
      <c r="D44" s="44" t="s">
        <v>6</v>
      </c>
      <c r="E44" s="37">
        <v>35</v>
      </c>
      <c r="F44" s="53" cm="1">
        <f t="array" ref="F44">_xlfn.XLOOKUP(TB_Saídas[[#This Row],[Produto]],TB_Produtos[[#All],[Produto]],TB_Produtos[[#All],[Preço Unitário]],"Produto não Encontrado",0,1)</f>
        <v>6</v>
      </c>
      <c r="G44" s="46">
        <f>IFERROR(TB_Saídas[[#This Row],[Quantidade Vendida]]*TB_Saídas[[#This Row],[Preço Unitário]],"Não foi possível calcular")</f>
        <v>210</v>
      </c>
    </row>
    <row r="45" spans="2:7" ht="16.2" x14ac:dyDescent="0.35">
      <c r="B45" s="52">
        <f>MONTH(TB_Saídas[[#This Row],[Data]])</f>
        <v>9</v>
      </c>
      <c r="C45" s="43">
        <v>44821</v>
      </c>
      <c r="D45" s="44" t="s">
        <v>19</v>
      </c>
      <c r="E45" s="37">
        <v>42</v>
      </c>
      <c r="F45" s="53" cm="1">
        <f t="array" ref="F45">_xlfn.XLOOKUP(TB_Saídas[[#This Row],[Produto]],TB_Produtos[[#All],[Produto]],TB_Produtos[[#All],[Preço Unitário]],"Produto não Encontrado",0,1)</f>
        <v>8.5</v>
      </c>
      <c r="G45" s="46">
        <f>IFERROR(TB_Saídas[[#This Row],[Quantidade Vendida]]*TB_Saídas[[#This Row],[Preço Unitário]],"Não foi possível calcular")</f>
        <v>357</v>
      </c>
    </row>
    <row r="46" spans="2:7" ht="16.2" x14ac:dyDescent="0.35">
      <c r="B46" s="52">
        <f>MONTH(TB_Saídas[[#This Row],[Data]])</f>
        <v>9</v>
      </c>
      <c r="C46" s="43">
        <v>44823</v>
      </c>
      <c r="D46" s="44" t="s">
        <v>28</v>
      </c>
      <c r="E46" s="37">
        <v>30</v>
      </c>
      <c r="F46" s="53" cm="1">
        <f t="array" ref="F46">_xlfn.XLOOKUP(TB_Saídas[[#This Row],[Produto]],TB_Produtos[[#All],[Produto]],TB_Produtos[[#All],[Preço Unitário]],"Produto não Encontrado",0,1)</f>
        <v>15</v>
      </c>
      <c r="G46" s="46">
        <f>IFERROR(TB_Saídas[[#This Row],[Quantidade Vendida]]*TB_Saídas[[#This Row],[Preço Unitário]],"Não foi possível calcular")</f>
        <v>450</v>
      </c>
    </row>
    <row r="47" spans="2:7" ht="16.2" x14ac:dyDescent="0.35">
      <c r="B47" s="52">
        <f>MONTH(TB_Saídas[[#This Row],[Data]])</f>
        <v>9</v>
      </c>
      <c r="C47" s="43">
        <v>44829</v>
      </c>
      <c r="D47" s="44" t="s">
        <v>25</v>
      </c>
      <c r="E47" s="37">
        <v>40</v>
      </c>
      <c r="F47" s="53" cm="1">
        <f t="array" ref="F47">_xlfn.XLOOKUP(TB_Saídas[[#This Row],[Produto]],TB_Produtos[[#All],[Produto]],TB_Produtos[[#All],[Preço Unitário]],"Produto não Encontrado",0,1)</f>
        <v>7.5</v>
      </c>
      <c r="G47" s="46">
        <f>IFERROR(TB_Saídas[[#This Row],[Quantidade Vendida]]*TB_Saídas[[#This Row],[Preço Unitário]],"Não foi possível calcular")</f>
        <v>300</v>
      </c>
    </row>
    <row r="48" spans="2:7" ht="16.2" x14ac:dyDescent="0.35">
      <c r="B48" s="52">
        <f>MONTH(TB_Saídas[[#This Row],[Data]])</f>
        <v>9</v>
      </c>
      <c r="C48" s="43">
        <v>44834</v>
      </c>
      <c r="D48" s="44" t="s">
        <v>10</v>
      </c>
      <c r="E48" s="37">
        <v>18</v>
      </c>
      <c r="F48" s="53" cm="1">
        <f t="array" ref="F48">_xlfn.XLOOKUP(TB_Saídas[[#This Row],[Produto]],TB_Produtos[[#All],[Produto]],TB_Produtos[[#All],[Preço Unitário]],"Produto não Encontrado",0,1)</f>
        <v>6.5</v>
      </c>
      <c r="G48" s="46">
        <f>IFERROR(TB_Saídas[[#This Row],[Quantidade Vendida]]*TB_Saídas[[#This Row],[Preço Unitário]],"Não foi possível calcular")</f>
        <v>117</v>
      </c>
    </row>
    <row r="49" spans="2:7" ht="16.2" x14ac:dyDescent="0.35">
      <c r="B49" s="52">
        <f>MONTH(TB_Saídas[[#This Row],[Data]])</f>
        <v>10</v>
      </c>
      <c r="C49" s="43">
        <v>44838</v>
      </c>
      <c r="D49" s="44" t="s">
        <v>19</v>
      </c>
      <c r="E49" s="37">
        <v>28</v>
      </c>
      <c r="F49" s="53" cm="1">
        <f t="array" ref="F49">_xlfn.XLOOKUP(TB_Saídas[[#This Row],[Produto]],TB_Produtos[[#All],[Produto]],TB_Produtos[[#All],[Preço Unitário]],"Produto não Encontrado",0,1)</f>
        <v>8.5</v>
      </c>
      <c r="G49" s="46">
        <f>IFERROR(TB_Saídas[[#This Row],[Quantidade Vendida]]*TB_Saídas[[#This Row],[Preço Unitário]],"Não foi possível calcular")</f>
        <v>238</v>
      </c>
    </row>
    <row r="50" spans="2:7" ht="16.2" x14ac:dyDescent="0.35">
      <c r="B50" s="52">
        <f>MONTH(TB_Saídas[[#This Row],[Data]])</f>
        <v>10</v>
      </c>
      <c r="C50" s="43">
        <v>44847</v>
      </c>
      <c r="D50" s="44" t="s">
        <v>27</v>
      </c>
      <c r="E50" s="37">
        <v>30</v>
      </c>
      <c r="F50" s="53" cm="1">
        <f t="array" ref="F50">_xlfn.XLOOKUP(TB_Saídas[[#This Row],[Produto]],TB_Produtos[[#All],[Produto]],TB_Produtos[[#All],[Preço Unitário]],"Produto não Encontrado",0,1)</f>
        <v>15</v>
      </c>
      <c r="G50" s="46">
        <f>IFERROR(TB_Saídas[[#This Row],[Quantidade Vendida]]*TB_Saídas[[#This Row],[Preço Unitário]],"Não foi possível calcular")</f>
        <v>450</v>
      </c>
    </row>
    <row r="51" spans="2:7" ht="16.2" x14ac:dyDescent="0.35">
      <c r="B51" s="52">
        <f>MONTH(TB_Saídas[[#This Row],[Data]])</f>
        <v>10</v>
      </c>
      <c r="C51" s="43">
        <v>44851</v>
      </c>
      <c r="D51" s="44" t="s">
        <v>25</v>
      </c>
      <c r="E51" s="37">
        <v>30</v>
      </c>
      <c r="F51" s="53" cm="1">
        <f t="array" ref="F51">_xlfn.XLOOKUP(TB_Saídas[[#This Row],[Produto]],TB_Produtos[[#All],[Produto]],TB_Produtos[[#All],[Preço Unitário]],"Produto não Encontrado",0,1)</f>
        <v>7.5</v>
      </c>
      <c r="G51" s="46">
        <f>IFERROR(TB_Saídas[[#This Row],[Quantidade Vendida]]*TB_Saídas[[#This Row],[Preço Unitário]],"Não foi possível calcular")</f>
        <v>225</v>
      </c>
    </row>
    <row r="52" spans="2:7" ht="16.2" x14ac:dyDescent="0.35">
      <c r="B52" s="52">
        <f>MONTH(TB_Saídas[[#This Row],[Data]])</f>
        <v>10</v>
      </c>
      <c r="C52" s="43">
        <v>44862</v>
      </c>
      <c r="D52" s="44" t="s">
        <v>10</v>
      </c>
      <c r="E52" s="37">
        <v>10</v>
      </c>
      <c r="F52" s="53" cm="1">
        <f t="array" ref="F52">_xlfn.XLOOKUP(TB_Saídas[[#This Row],[Produto]],TB_Produtos[[#All],[Produto]],TB_Produtos[[#All],[Preço Unitário]],"Produto não Encontrado",0,1)</f>
        <v>6.5</v>
      </c>
      <c r="G52" s="46">
        <f>IFERROR(TB_Saídas[[#This Row],[Quantidade Vendida]]*TB_Saídas[[#This Row],[Preço Unitário]],"Não foi possível calcular")</f>
        <v>65</v>
      </c>
    </row>
    <row r="53" spans="2:7" ht="16.2" x14ac:dyDescent="0.35">
      <c r="B53" s="52">
        <f>MONTH(TB_Saídas[[#This Row],[Data]])</f>
        <v>10</v>
      </c>
      <c r="C53" s="43">
        <v>44865</v>
      </c>
      <c r="D53" s="44" t="s">
        <v>26</v>
      </c>
      <c r="E53" s="37">
        <v>35</v>
      </c>
      <c r="F53" s="53" cm="1">
        <f t="array" ref="F53">_xlfn.XLOOKUP(TB_Saídas[[#This Row],[Produto]],TB_Produtos[[#All],[Produto]],TB_Produtos[[#All],[Preço Unitário]],"Produto não Encontrado",0,1)</f>
        <v>10</v>
      </c>
      <c r="G53" s="46">
        <f>IFERROR(TB_Saídas[[#This Row],[Quantidade Vendida]]*TB_Saídas[[#This Row],[Preço Unitário]],"Não foi possível calcular")</f>
        <v>350</v>
      </c>
    </row>
    <row r="54" spans="2:7" ht="16.2" x14ac:dyDescent="0.35">
      <c r="B54" s="52">
        <f>MONTH(TB_Saídas[[#This Row],[Data]])</f>
        <v>10</v>
      </c>
      <c r="C54" s="43">
        <v>44865</v>
      </c>
      <c r="D54" s="44" t="s">
        <v>6</v>
      </c>
      <c r="E54" s="37">
        <v>30</v>
      </c>
      <c r="F54" s="53" cm="1">
        <f t="array" ref="F54">_xlfn.XLOOKUP(TB_Saídas[[#This Row],[Produto]],TB_Produtos[[#All],[Produto]],TB_Produtos[[#All],[Preço Unitário]],"Produto não Encontrado",0,1)</f>
        <v>6</v>
      </c>
      <c r="G54" s="46">
        <f>IFERROR(TB_Saídas[[#This Row],[Quantidade Vendida]]*TB_Saídas[[#This Row],[Preço Unitário]],"Não foi possível calcular")</f>
        <v>180</v>
      </c>
    </row>
    <row r="55" spans="2:7" ht="16.2" x14ac:dyDescent="0.35">
      <c r="B55" s="52">
        <f>MONTH(TB_Saídas[[#This Row],[Data]])</f>
        <v>11</v>
      </c>
      <c r="C55" s="43">
        <v>44869</v>
      </c>
      <c r="D55" s="44" t="s">
        <v>10</v>
      </c>
      <c r="E55" s="37">
        <v>30</v>
      </c>
      <c r="F55" s="53" cm="1">
        <f t="array" ref="F55">_xlfn.XLOOKUP(TB_Saídas[[#This Row],[Produto]],TB_Produtos[[#All],[Produto]],TB_Produtos[[#All],[Preço Unitário]],"Produto não Encontrado",0,1)</f>
        <v>6.5</v>
      </c>
      <c r="G55" s="46">
        <f>IFERROR(TB_Saídas[[#This Row],[Quantidade Vendida]]*TB_Saídas[[#This Row],[Preço Unitário]],"Não foi possível calcular")</f>
        <v>195</v>
      </c>
    </row>
    <row r="56" spans="2:7" ht="16.2" x14ac:dyDescent="0.35">
      <c r="B56" s="52">
        <f>MONTH(TB_Saídas[[#This Row],[Data]])</f>
        <v>11</v>
      </c>
      <c r="C56" s="43">
        <v>44870</v>
      </c>
      <c r="D56" s="44" t="s">
        <v>25</v>
      </c>
      <c r="E56" s="37">
        <v>15</v>
      </c>
      <c r="F56" s="53" cm="1">
        <f t="array" ref="F56">_xlfn.XLOOKUP(TB_Saídas[[#This Row],[Produto]],TB_Produtos[[#All],[Produto]],TB_Produtos[[#All],[Preço Unitário]],"Produto não Encontrado",0,1)</f>
        <v>7.5</v>
      </c>
      <c r="G56" s="46">
        <f>IFERROR(TB_Saídas[[#This Row],[Quantidade Vendida]]*TB_Saídas[[#This Row],[Preço Unitário]],"Não foi possível calcular")</f>
        <v>112.5</v>
      </c>
    </row>
    <row r="57" spans="2:7" ht="16.2" x14ac:dyDescent="0.35">
      <c r="B57" s="52">
        <f>MONTH(TB_Saídas[[#This Row],[Data]])</f>
        <v>11</v>
      </c>
      <c r="C57" s="43">
        <v>44872</v>
      </c>
      <c r="D57" s="44" t="s">
        <v>6</v>
      </c>
      <c r="E57" s="37">
        <v>50</v>
      </c>
      <c r="F57" s="53" cm="1">
        <f t="array" ref="F57">_xlfn.XLOOKUP(TB_Saídas[[#This Row],[Produto]],TB_Produtos[[#All],[Produto]],TB_Produtos[[#All],[Preço Unitário]],"Produto não Encontrado",0,1)</f>
        <v>6</v>
      </c>
      <c r="G57" s="46">
        <f>IFERROR(TB_Saídas[[#This Row],[Quantidade Vendida]]*TB_Saídas[[#This Row],[Preço Unitário]],"Não foi possível calcular")</f>
        <v>300</v>
      </c>
    </row>
    <row r="58" spans="2:7" ht="16.2" x14ac:dyDescent="0.35">
      <c r="B58" s="52">
        <f>MONTH(TB_Saídas[[#This Row],[Data]])</f>
        <v>11</v>
      </c>
      <c r="C58" s="43">
        <v>44886</v>
      </c>
      <c r="D58" s="44" t="s">
        <v>19</v>
      </c>
      <c r="E58" s="37">
        <v>24</v>
      </c>
      <c r="F58" s="53" cm="1">
        <f t="array" ref="F58">_xlfn.XLOOKUP(TB_Saídas[[#This Row],[Produto]],TB_Produtos[[#All],[Produto]],TB_Produtos[[#All],[Preço Unitário]],"Produto não Encontrado",0,1)</f>
        <v>8.5</v>
      </c>
      <c r="G58" s="46">
        <f>IFERROR(TB_Saídas[[#This Row],[Quantidade Vendida]]*TB_Saídas[[#This Row],[Preço Unitário]],"Não foi possível calcular")</f>
        <v>204</v>
      </c>
    </row>
    <row r="59" spans="2:7" ht="16.2" x14ac:dyDescent="0.35">
      <c r="B59" s="52">
        <f>MONTH(TB_Saídas[[#This Row],[Data]])</f>
        <v>12</v>
      </c>
      <c r="C59" s="43">
        <v>44897</v>
      </c>
      <c r="D59" s="44" t="s">
        <v>25</v>
      </c>
      <c r="E59" s="37">
        <v>20</v>
      </c>
      <c r="F59" s="53" cm="1">
        <f t="array" ref="F59">_xlfn.XLOOKUP(TB_Saídas[[#This Row],[Produto]],TB_Produtos[[#All],[Produto]],TB_Produtos[[#All],[Preço Unitário]],"Produto não Encontrado",0,1)</f>
        <v>7.5</v>
      </c>
      <c r="G59" s="46">
        <f>IFERROR(TB_Saídas[[#This Row],[Quantidade Vendida]]*TB_Saídas[[#This Row],[Preço Unitário]],"Não foi possível calcular")</f>
        <v>150</v>
      </c>
    </row>
    <row r="60" spans="2:7" ht="16.2" x14ac:dyDescent="0.35">
      <c r="B60" s="52">
        <f>MONTH(TB_Saídas[[#This Row],[Data]])</f>
        <v>12</v>
      </c>
      <c r="C60" s="43">
        <v>44905</v>
      </c>
      <c r="D60" s="44" t="s">
        <v>26</v>
      </c>
      <c r="E60" s="37">
        <v>25</v>
      </c>
      <c r="F60" s="53" cm="1">
        <f t="array" ref="F60">_xlfn.XLOOKUP(TB_Saídas[[#This Row],[Produto]],TB_Produtos[[#All],[Produto]],TB_Produtos[[#All],[Preço Unitário]],"Produto não Encontrado",0,1)</f>
        <v>10</v>
      </c>
      <c r="G60" s="46">
        <f>IFERROR(TB_Saídas[[#This Row],[Quantidade Vendida]]*TB_Saídas[[#This Row],[Preço Unitário]],"Não foi possível calcular")</f>
        <v>250</v>
      </c>
    </row>
    <row r="61" spans="2:7" ht="16.2" x14ac:dyDescent="0.35">
      <c r="B61" s="52">
        <f>MONTH(TB_Saídas[[#This Row],[Data]])</f>
        <v>12</v>
      </c>
      <c r="C61" s="43">
        <v>44915</v>
      </c>
      <c r="D61" s="44" t="s">
        <v>6</v>
      </c>
      <c r="E61" s="37">
        <v>100</v>
      </c>
      <c r="F61" s="53" cm="1">
        <f t="array" ref="F61">_xlfn.XLOOKUP(TB_Saídas[[#This Row],[Produto]],TB_Produtos[[#All],[Produto]],TB_Produtos[[#All],[Preço Unitário]],"Produto não Encontrado",0,1)</f>
        <v>6</v>
      </c>
      <c r="G61" s="46">
        <f>IFERROR(TB_Saídas[[#This Row],[Quantidade Vendida]]*TB_Saídas[[#This Row],[Preço Unitário]],"Não foi possível calcular")</f>
        <v>600</v>
      </c>
    </row>
    <row r="62" spans="2:7" ht="16.2" x14ac:dyDescent="0.35">
      <c r="B62" s="52">
        <f>MONTH(TB_Saídas[[#This Row],[Data]])</f>
        <v>12</v>
      </c>
      <c r="C62" s="43">
        <v>44917</v>
      </c>
      <c r="D62" s="44" t="s">
        <v>19</v>
      </c>
      <c r="E62" s="37">
        <v>23</v>
      </c>
      <c r="F62" s="53" cm="1">
        <f t="array" ref="F62">_xlfn.XLOOKUP(TB_Saídas[[#This Row],[Produto]],TB_Produtos[[#All],[Produto]],TB_Produtos[[#All],[Preço Unitário]],"Produto não Encontrado",0,1)</f>
        <v>8.5</v>
      </c>
      <c r="G62" s="46">
        <f>IFERROR(TB_Saídas[[#This Row],[Quantidade Vendida]]*TB_Saídas[[#This Row],[Preço Unitário]],"Não foi possível calcular")</f>
        <v>195.5</v>
      </c>
    </row>
    <row r="63" spans="2:7" x14ac:dyDescent="0.3">
      <c r="C63" s="3"/>
    </row>
  </sheetData>
  <phoneticPr fontId="3" type="noConversion"/>
  <dataValidations count="1">
    <dataValidation type="list" allowBlank="1" showInputMessage="1" showErrorMessage="1" sqref="D6:D62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6BB8-FBDA-4261-94B1-9C28905DFD45}">
  <dimension ref="B1:J16"/>
  <sheetViews>
    <sheetView showGridLines="0" workbookViewId="0">
      <selection activeCell="I9" sqref="I9"/>
    </sheetView>
  </sheetViews>
  <sheetFormatPr defaultColWidth="9.109375" defaultRowHeight="14.4" x14ac:dyDescent="0.3"/>
  <cols>
    <col min="1" max="1" width="5.109375" customWidth="1"/>
    <col min="2" max="2" width="2.44140625" customWidth="1"/>
    <col min="3" max="3" width="1.6640625" customWidth="1"/>
    <col min="4" max="4" width="21.88671875" customWidth="1"/>
    <col min="5" max="5" width="0.88671875" customWidth="1"/>
    <col min="6" max="6" width="25.109375" bestFit="1" customWidth="1"/>
    <col min="7" max="7" width="3.33203125" customWidth="1"/>
  </cols>
  <sheetData>
    <row r="1" spans="2:10" s="29" customFormat="1" ht="60" customHeight="1" x14ac:dyDescent="0.3">
      <c r="G1" s="39" t="s">
        <v>68</v>
      </c>
    </row>
    <row r="2" spans="2:10" s="34" customFormat="1" ht="6" customHeight="1" x14ac:dyDescent="0.3">
      <c r="F2" s="35"/>
    </row>
    <row r="3" spans="2:10" x14ac:dyDescent="0.3">
      <c r="C3" s="5"/>
      <c r="F3" s="5"/>
    </row>
    <row r="4" spans="2:10" ht="9.75" customHeight="1" x14ac:dyDescent="0.3">
      <c r="C4" s="59"/>
      <c r="D4" s="60"/>
      <c r="E4" s="60"/>
      <c r="F4" s="60"/>
      <c r="G4" s="59"/>
    </row>
    <row r="5" spans="2:10" ht="27.75" customHeight="1" x14ac:dyDescent="0.4">
      <c r="B5" s="70"/>
      <c r="C5" s="59"/>
      <c r="D5" s="61" t="s">
        <v>61</v>
      </c>
      <c r="E5" s="62"/>
      <c r="F5" s="61" t="s">
        <v>1</v>
      </c>
      <c r="G5" s="59"/>
    </row>
    <row r="6" spans="2:10" s="6" customFormat="1" ht="27.75" customHeight="1" thickBot="1" x14ac:dyDescent="0.4">
      <c r="B6" s="70"/>
      <c r="C6" s="59"/>
      <c r="D6" s="54" t="s">
        <v>69</v>
      </c>
      <c r="E6" s="68"/>
      <c r="F6" s="55" t="str">
        <f>"=Café"</f>
        <v>=Café</v>
      </c>
      <c r="G6" s="59"/>
      <c r="I6" s="8"/>
      <c r="J6" s="9"/>
    </row>
    <row r="7" spans="2:10" s="6" customFormat="1" ht="15" customHeight="1" x14ac:dyDescent="0.35">
      <c r="B7" s="70"/>
      <c r="C7" s="59"/>
      <c r="D7" s="64"/>
      <c r="E7" s="65"/>
      <c r="F7" s="64"/>
      <c r="G7" s="59"/>
    </row>
    <row r="8" spans="2:10" ht="27.75" customHeight="1" x14ac:dyDescent="0.3">
      <c r="B8" s="70"/>
      <c r="C8" s="63"/>
      <c r="D8" s="66" t="s">
        <v>66</v>
      </c>
      <c r="E8" s="67"/>
      <c r="F8" s="56">
        <f>DSUM(TB_Saídas[#All],Consulta!D8,Consulta!D5:F6)</f>
        <v>365</v>
      </c>
      <c r="G8" s="63" t="s">
        <v>70</v>
      </c>
    </row>
    <row r="9" spans="2:10" ht="15" customHeight="1" x14ac:dyDescent="0.3">
      <c r="B9" s="70"/>
      <c r="C9" s="63"/>
      <c r="D9" s="67"/>
      <c r="E9" s="67"/>
      <c r="F9" s="69"/>
      <c r="G9" s="63"/>
    </row>
    <row r="10" spans="2:10" ht="27.75" customHeight="1" x14ac:dyDescent="0.3">
      <c r="B10" s="70"/>
      <c r="C10" s="63"/>
      <c r="D10" s="66" t="s">
        <v>71</v>
      </c>
      <c r="E10" s="67"/>
      <c r="F10" s="56">
        <f>DSUM(TB_Entradas[#All],"Quantidade Comprada",Consulta!D5:F6)-F8</f>
        <v>160</v>
      </c>
      <c r="G10" s="63"/>
    </row>
    <row r="11" spans="2:10" ht="15" customHeight="1" x14ac:dyDescent="0.3">
      <c r="B11" s="70"/>
      <c r="C11" s="63"/>
      <c r="D11" s="67"/>
      <c r="E11" s="67"/>
      <c r="F11" s="67"/>
      <c r="G11" s="63"/>
    </row>
    <row r="12" spans="2:10" ht="27.75" customHeight="1" x14ac:dyDescent="0.3">
      <c r="B12" s="70"/>
      <c r="C12" s="63"/>
      <c r="D12" s="66" t="s">
        <v>64</v>
      </c>
      <c r="E12" s="67"/>
      <c r="F12" s="57">
        <f>DSUM(TB_Entradas[#All],Consulta!D12,Consulta!D5:F6)</f>
        <v>1050</v>
      </c>
      <c r="G12" s="63"/>
    </row>
    <row r="13" spans="2:10" ht="15" customHeight="1" x14ac:dyDescent="0.3">
      <c r="B13" s="70"/>
      <c r="C13" s="63"/>
      <c r="D13" s="67"/>
      <c r="E13" s="67"/>
      <c r="F13" s="69"/>
      <c r="G13" s="63"/>
    </row>
    <row r="14" spans="2:10" ht="27.75" customHeight="1" x14ac:dyDescent="0.3">
      <c r="B14" s="70"/>
      <c r="C14" s="63"/>
      <c r="D14" s="66" t="s">
        <v>67</v>
      </c>
      <c r="E14" s="67"/>
      <c r="F14" s="57">
        <f>DSUM(TB_Saídas[#All],Consulta!D14,Consulta!D5:F6)</f>
        <v>2190</v>
      </c>
      <c r="G14" s="63"/>
    </row>
    <row r="15" spans="2:10" ht="21.75" customHeight="1" x14ac:dyDescent="0.3">
      <c r="B15" s="70"/>
      <c r="C15" s="63"/>
      <c r="D15" s="63"/>
      <c r="E15" s="63"/>
      <c r="F15" s="63"/>
      <c r="G15" s="63"/>
    </row>
    <row r="16" spans="2:10" ht="12" customHeight="1" x14ac:dyDescent="0.3">
      <c r="B16" s="70"/>
      <c r="C16" s="70"/>
      <c r="D16" s="70"/>
      <c r="E16" s="70"/>
      <c r="F16" s="70"/>
      <c r="G16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5387-DA16-4F73-A97C-38B09EAE6A43}">
  <dimension ref="B1:Q18"/>
  <sheetViews>
    <sheetView showGridLines="0" zoomScaleNormal="100" workbookViewId="0">
      <selection activeCell="G19" sqref="G19"/>
    </sheetView>
  </sheetViews>
  <sheetFormatPr defaultRowHeight="14.4" x14ac:dyDescent="0.3"/>
  <cols>
    <col min="1" max="1" width="3.88671875" customWidth="1"/>
    <col min="2" max="2" width="18.5546875" customWidth="1"/>
    <col min="3" max="6" width="13.44140625" customWidth="1"/>
    <col min="7" max="7" width="15" customWidth="1"/>
    <col min="8" max="8" width="14.33203125" customWidth="1"/>
    <col min="9" max="10" width="13.44140625" customWidth="1"/>
    <col min="11" max="13" width="2.33203125" customWidth="1"/>
    <col min="14" max="14" width="14.33203125" customWidth="1"/>
    <col min="15" max="15" width="2.33203125" customWidth="1"/>
    <col min="16" max="16" width="18.5546875" customWidth="1"/>
    <col min="17" max="17" width="2.33203125" customWidth="1"/>
  </cols>
  <sheetData>
    <row r="1" spans="2:17" s="29" customFormat="1" ht="60" customHeight="1" x14ac:dyDescent="0.3">
      <c r="F1" s="39" t="s">
        <v>72</v>
      </c>
    </row>
    <row r="2" spans="2:17" s="34" customFormat="1" ht="6" customHeight="1" x14ac:dyDescent="0.3">
      <c r="F2" s="35"/>
    </row>
    <row r="5" spans="2:17" s="11" customFormat="1" ht="28.8" x14ac:dyDescent="0.3">
      <c r="B5" s="41" t="s">
        <v>1</v>
      </c>
      <c r="C5" s="41" t="s">
        <v>73</v>
      </c>
      <c r="D5" s="41" t="s">
        <v>74</v>
      </c>
      <c r="E5" s="41" t="s">
        <v>75</v>
      </c>
      <c r="F5" s="41" t="s">
        <v>3</v>
      </c>
      <c r="G5" s="41" t="s">
        <v>76</v>
      </c>
      <c r="H5" s="41" t="s">
        <v>67</v>
      </c>
      <c r="I5" s="41" t="s">
        <v>77</v>
      </c>
      <c r="J5" s="41" t="s">
        <v>78</v>
      </c>
    </row>
    <row r="6" spans="2:17" x14ac:dyDescent="0.3">
      <c r="B6" t="s">
        <v>36</v>
      </c>
      <c r="C6" s="2">
        <f>IFERROR(SUMIF(TB_Entradas[Produto],TB_ControleEstoque[[#This Row],[Produto]],TB_Entradas[Quantidade Comprada]),0)</f>
        <v>350</v>
      </c>
      <c r="D6" s="2">
        <f>IFERROR(SUMIF(TB_Saídas[Produto],TB_ControleEstoque[[#This Row],[Produto]],TB_Saídas[Quantidade Vendida]),0)</f>
        <v>210</v>
      </c>
      <c r="E6" s="2">
        <f>TB_ControleEstoque[[#This Row],[Entradas]]-TB_ControleEstoque[[#This Row],[Saídas ]]</f>
        <v>140</v>
      </c>
      <c r="F6" s="2">
        <f>_xlfn.XLOOKUP(TB_ControleEstoque[[#This Row],[Produto]],TB_Produtos[Produto],TB_Produtos[Estoque Mínimo],"Erro",0,1)</f>
        <v>10</v>
      </c>
      <c r="G6" t="str" cm="1">
        <f t="array" ref="G6">_xlfn.IFS(TB_ControleEstoque[[#This Row],[Saldo em Estoque]]&gt;TB_ControleEstoque[[#This Row],[Estoque Mínimo]],"Estoque OK",TB_ControleEstoque[[#This Row],[Saldo em Estoque]]=0,"Estoque Zerado",1,"Repor Estoque")</f>
        <v>Estoque OK</v>
      </c>
      <c r="H6" s="12">
        <f>SUMIFS(TB_Saídas[Valor de Venda],TB_Saídas[Produto],TB_ControleEstoque[[#This Row],[Produto]])</f>
        <v>1680</v>
      </c>
      <c r="I6" s="10">
        <f>SUMIFS(TB_Entradas[Valor da Compra],TB_Entradas[Produto],TB_ControleEstoque[[#This Row],[Produto]])</f>
        <v>700</v>
      </c>
      <c r="J6" s="10">
        <f>TB_ControleEstoque[[#This Row],[Valor de Venda]]-TB_ControleEstoque[[#This Row],[Custo Total]]</f>
        <v>980</v>
      </c>
      <c r="M6" s="60"/>
      <c r="N6" s="60"/>
      <c r="O6" s="60"/>
      <c r="P6" s="60"/>
      <c r="Q6" s="60"/>
    </row>
    <row r="7" spans="2:17" ht="18" x14ac:dyDescent="0.4">
      <c r="B7" t="s">
        <v>6</v>
      </c>
      <c r="C7" s="2">
        <f>IFERROR(SUMIF(TB_Entradas[Produto],TB_ControleEstoque[[#This Row],[Produto]],TB_Entradas[Quantidade Comprada]),0)</f>
        <v>1635</v>
      </c>
      <c r="D7" s="2">
        <f>IFERROR(SUMIF(TB_Saídas[Produto],TB_ControleEstoque[[#This Row],[Produto]],TB_Saídas[Quantidade Vendida]),0)</f>
        <v>945</v>
      </c>
      <c r="E7" s="2">
        <f>TB_ControleEstoque[[#This Row],[Entradas]]-TB_ControleEstoque[[#This Row],[Saídas ]]</f>
        <v>690</v>
      </c>
      <c r="F7" s="2">
        <f>_xlfn.XLOOKUP(TB_ControleEstoque[[#This Row],[Produto]],TB_Produtos[Produto],TB_Produtos[Estoque Mínimo],"Erro",0,1)</f>
        <v>50</v>
      </c>
      <c r="G7" t="str" cm="1">
        <f t="array" ref="G7">_xlfn.IFS(TB_ControleEstoque[[#This Row],[Saldo em Estoque]]&gt;TB_ControleEstoque[[#This Row],[Estoque Mínimo]],"Estoque OK",TB_ControleEstoque[[#This Row],[Saldo em Estoque]]=0,"Estoque Zerado",1,"Repor Estoque")</f>
        <v>Estoque OK</v>
      </c>
      <c r="H7" s="12">
        <f>SUMIFS(TB_Saídas[Valor de Venda],TB_Saídas[Produto],TB_ControleEstoque[[#This Row],[Produto]])</f>
        <v>5670</v>
      </c>
      <c r="I7" s="10">
        <f>SUMIFS(TB_Entradas[Valor da Compra],TB_Entradas[Produto],TB_ControleEstoque[[#This Row],[Produto]])</f>
        <v>3270</v>
      </c>
      <c r="J7" s="10">
        <f>TB_ControleEstoque[[#This Row],[Valor de Venda]]-TB_ControleEstoque[[#This Row],[Custo Total]]</f>
        <v>2400</v>
      </c>
      <c r="L7" s="82"/>
      <c r="M7" s="60"/>
      <c r="N7" s="87" t="s">
        <v>79</v>
      </c>
      <c r="O7" s="87"/>
      <c r="P7" s="87"/>
      <c r="Q7" s="60"/>
    </row>
    <row r="8" spans="2:17" ht="16.2" x14ac:dyDescent="0.35">
      <c r="B8" t="s">
        <v>26</v>
      </c>
      <c r="C8" s="2">
        <f>IFERROR(SUMIF(TB_Entradas[Produto],TB_ControleEstoque[[#This Row],[Produto]],TB_Entradas[Quantidade Comprada]),0)</f>
        <v>100</v>
      </c>
      <c r="D8" s="2">
        <f>IFERROR(SUMIF(TB_Saídas[Produto],TB_ControleEstoque[[#This Row],[Produto]],TB_Saídas[Quantidade Vendida]),0)</f>
        <v>100</v>
      </c>
      <c r="E8" s="2">
        <f>TB_ControleEstoque[[#This Row],[Entradas]]-TB_ControleEstoque[[#This Row],[Saídas ]]</f>
        <v>0</v>
      </c>
      <c r="F8" s="2">
        <f>_xlfn.XLOOKUP(TB_ControleEstoque[[#This Row],[Produto]],TB_Produtos[Produto],TB_Produtos[Estoque Mínimo],"Erro",0,1)</f>
        <v>5</v>
      </c>
      <c r="G8" t="str" cm="1">
        <f t="array" ref="G8">_xlfn.IFS(TB_ControleEstoque[[#This Row],[Saldo em Estoque]]&gt;TB_ControleEstoque[[#This Row],[Estoque Mínimo]],"Estoque OK",TB_ControleEstoque[[#This Row],[Saldo em Estoque]]=0,"Estoque Zerado",1,"Repor Estoque")</f>
        <v>Estoque Zerado</v>
      </c>
      <c r="H8" s="12">
        <f>SUMIFS(TB_Saídas[Valor de Venda],TB_Saídas[Produto],TB_ControleEstoque[[#This Row],[Produto]])</f>
        <v>1000</v>
      </c>
      <c r="I8" s="10">
        <f>SUMIFS(TB_Entradas[Valor da Compra],TB_Entradas[Produto],TB_ControleEstoque[[#This Row],[Produto]])</f>
        <v>75</v>
      </c>
      <c r="J8" s="10">
        <f>TB_ControleEstoque[[#This Row],[Valor de Venda]]-TB_ControleEstoque[[#This Row],[Custo Total]]</f>
        <v>925</v>
      </c>
      <c r="L8" s="82"/>
      <c r="M8" s="60"/>
      <c r="N8" s="84" t="s">
        <v>78</v>
      </c>
      <c r="O8" s="83"/>
      <c r="P8" s="84" t="s">
        <v>1</v>
      </c>
      <c r="Q8" s="60"/>
    </row>
    <row r="9" spans="2:17" x14ac:dyDescent="0.3">
      <c r="B9" t="s">
        <v>31</v>
      </c>
      <c r="C9" s="2">
        <f>IFERROR(SUMIF(TB_Entradas[Produto],TB_ControleEstoque[[#This Row],[Produto]],TB_Entradas[Quantidade Comprada]),0)</f>
        <v>50</v>
      </c>
      <c r="D9" s="2">
        <f>IFERROR(SUMIF(TB_Saídas[Produto],TB_ControleEstoque[[#This Row],[Produto]],TB_Saídas[Quantidade Vendida]),0)</f>
        <v>25</v>
      </c>
      <c r="E9" s="2">
        <f>TB_ControleEstoque[[#This Row],[Entradas]]-TB_ControleEstoque[[#This Row],[Saídas ]]</f>
        <v>25</v>
      </c>
      <c r="F9" s="2">
        <f>_xlfn.XLOOKUP(TB_ControleEstoque[[#This Row],[Produto]],TB_Produtos[Produto],TB_Produtos[Estoque Mínimo],"Erro",0,1)</f>
        <v>5</v>
      </c>
      <c r="G9" t="str" cm="1">
        <f t="array" ref="G9">_xlfn.IFS(TB_ControleEstoque[[#This Row],[Saldo em Estoque]]&gt;TB_ControleEstoque[[#This Row],[Estoque Mínimo]],"Estoque OK",TB_ControleEstoque[[#This Row],[Saldo em Estoque]]=0,"Estoque Zerado",1,"Repor Estoque")</f>
        <v>Estoque OK</v>
      </c>
      <c r="H9" s="12">
        <f>SUMIFS(TB_Saídas[Valor de Venda],TB_Saídas[Produto],TB_ControleEstoque[[#This Row],[Produto]])</f>
        <v>200</v>
      </c>
      <c r="I9" s="10">
        <f>SUMIFS(TB_Entradas[Valor da Compra],TB_Entradas[Produto],TB_ControleEstoque[[#This Row],[Produto]])</f>
        <v>37.5</v>
      </c>
      <c r="J9" s="10">
        <f>TB_ControleEstoque[[#This Row],[Valor de Venda]]-TB_ControleEstoque[[#This Row],[Custo Total]]</f>
        <v>162.5</v>
      </c>
      <c r="L9" s="82"/>
      <c r="M9" s="60"/>
      <c r="N9" s="88">
        <f>LARGE(TB_ControleEstoque[Lucro],1)</f>
        <v>4062.5</v>
      </c>
      <c r="O9" s="60"/>
      <c r="P9" s="90" t="str">
        <f>DGET(TB_ControleEstoque[#All],1,N8:N9)</f>
        <v>Chocolate Quente</v>
      </c>
      <c r="Q9" s="60"/>
    </row>
    <row r="10" spans="2:17" x14ac:dyDescent="0.3">
      <c r="B10" t="s">
        <v>19</v>
      </c>
      <c r="C10" s="2">
        <f>IFERROR(SUMIF(TB_Entradas[Produto],TB_ControleEstoque[[#This Row],[Produto]],TB_Entradas[Quantidade Comprada]),0)</f>
        <v>750</v>
      </c>
      <c r="D10" s="2">
        <f>IFERROR(SUMIF(TB_Saídas[Produto],TB_ControleEstoque[[#This Row],[Produto]],TB_Saídas[Quantidade Vendida]),0)</f>
        <v>500</v>
      </c>
      <c r="E10" s="2">
        <f>TB_ControleEstoque[[#This Row],[Entradas]]-TB_ControleEstoque[[#This Row],[Saídas ]]</f>
        <v>250</v>
      </c>
      <c r="F10" s="2">
        <f>_xlfn.XLOOKUP(TB_ControleEstoque[[#This Row],[Produto]],TB_Produtos[Produto],TB_Produtos[Estoque Mínimo],"Erro",0,1)</f>
        <v>10</v>
      </c>
      <c r="G10" t="str" cm="1">
        <f t="array" ref="G10">_xlfn.IFS(TB_ControleEstoque[[#This Row],[Saldo em Estoque]]&gt;TB_ControleEstoque[[#This Row],[Estoque Mínimo]],"Estoque OK",TB_ControleEstoque[[#This Row],[Saldo em Estoque]]=0,"Estoque Zerado",1,"Repor Estoque")</f>
        <v>Estoque OK</v>
      </c>
      <c r="H10" s="12">
        <f>SUMIFS(TB_Saídas[Valor de Venda],TB_Saídas[Produto],TB_ControleEstoque[[#This Row],[Produto]])</f>
        <v>4250</v>
      </c>
      <c r="I10" s="10">
        <f>SUMIFS(TB_Entradas[Valor da Compra],TB_Entradas[Produto],TB_ControleEstoque[[#This Row],[Produto]])</f>
        <v>187.5</v>
      </c>
      <c r="J10" s="10">
        <f>TB_ControleEstoque[[#This Row],[Valor de Venda]]-TB_ControleEstoque[[#This Row],[Custo Total]]</f>
        <v>4062.5</v>
      </c>
      <c r="L10" s="82"/>
      <c r="M10" s="60"/>
      <c r="N10" s="89"/>
      <c r="O10" s="60"/>
      <c r="P10" s="91"/>
      <c r="Q10" s="60"/>
    </row>
    <row r="11" spans="2:17" x14ac:dyDescent="0.3">
      <c r="B11" t="s">
        <v>25</v>
      </c>
      <c r="C11" s="2">
        <f>IFERROR(SUMIF(TB_Entradas[Produto],TB_ControleEstoque[[#This Row],[Produto]],TB_Entradas[Quantidade Comprada]),0)</f>
        <v>620</v>
      </c>
      <c r="D11" s="2">
        <f>IFERROR(SUMIF(TB_Saídas[Produto],TB_ControleEstoque[[#This Row],[Produto]],TB_Saídas[Quantidade Vendida]),0)</f>
        <v>400</v>
      </c>
      <c r="E11" s="2">
        <f>TB_ControleEstoque[[#This Row],[Entradas]]-TB_ControleEstoque[[#This Row],[Saídas ]]</f>
        <v>220</v>
      </c>
      <c r="F11" s="2">
        <f>_xlfn.XLOOKUP(TB_ControleEstoque[[#This Row],[Produto]],TB_Produtos[Produto],TB_Produtos[Estoque Mínimo],"Erro",0,1)</f>
        <v>10</v>
      </c>
      <c r="G11" t="str" cm="1">
        <f t="array" ref="G11">_xlfn.IFS(TB_ControleEstoque[[#This Row],[Saldo em Estoque]]&gt;TB_ControleEstoque[[#This Row],[Estoque Mínimo]],"Estoque OK",TB_ControleEstoque[[#This Row],[Saldo em Estoque]]=0,"Estoque Zerado",1,"Repor Estoque")</f>
        <v>Estoque OK</v>
      </c>
      <c r="H11" s="12">
        <f>SUMIFS(TB_Saídas[Valor de Venda],TB_Saídas[Produto],TB_ControleEstoque[[#This Row],[Produto]])</f>
        <v>3000</v>
      </c>
      <c r="I11" s="10">
        <f>SUMIFS(TB_Entradas[Valor da Compra],TB_Entradas[Produto],TB_ControleEstoque[[#This Row],[Produto]])</f>
        <v>155</v>
      </c>
      <c r="J11" s="10">
        <f>TB_ControleEstoque[[#This Row],[Valor de Venda]]-TB_ControleEstoque[[#This Row],[Custo Total]]</f>
        <v>2845</v>
      </c>
      <c r="L11" s="82"/>
      <c r="M11" s="60"/>
      <c r="N11" s="60"/>
      <c r="O11" s="60"/>
      <c r="P11" s="60"/>
      <c r="Q11" s="60"/>
    </row>
    <row r="12" spans="2:17" x14ac:dyDescent="0.3">
      <c r="B12" t="s">
        <v>10</v>
      </c>
      <c r="C12" s="2">
        <f>IFERROR(SUMIF(TB_Entradas[Produto],TB_ControleEstoque[[#This Row],[Produto]],TB_Entradas[Quantidade Comprada]),0)</f>
        <v>550</v>
      </c>
      <c r="D12" s="2">
        <f>IFERROR(SUMIF(TB_Saídas[Produto],TB_ControleEstoque[[#This Row],[Produto]],TB_Saídas[Quantidade Vendida]),0)</f>
        <v>245</v>
      </c>
      <c r="E12" s="2">
        <f>TB_ControleEstoque[[#This Row],[Entradas]]-TB_ControleEstoque[[#This Row],[Saídas ]]</f>
        <v>305</v>
      </c>
      <c r="F12" s="2">
        <f>_xlfn.XLOOKUP(TB_ControleEstoque[[#This Row],[Produto]],TB_Produtos[Produto],TB_Produtos[Estoque Mínimo],"Erro",0,1)</f>
        <v>50</v>
      </c>
      <c r="G12" t="str" cm="1">
        <f t="array" ref="G12">_xlfn.IFS(TB_ControleEstoque[[#This Row],[Saldo em Estoque]]&gt;TB_ControleEstoque[[#This Row],[Estoque Mínimo]],"Estoque OK",TB_ControleEstoque[[#This Row],[Saldo em Estoque]]=0,"Estoque Zerado",1,"Repor Estoque")</f>
        <v>Estoque OK</v>
      </c>
      <c r="H12" s="12">
        <f>SUMIFS(TB_Saídas[Valor de Venda],TB_Saídas[Produto],TB_ControleEstoque[[#This Row],[Produto]])</f>
        <v>1592.5</v>
      </c>
      <c r="I12" s="10">
        <f>SUMIFS(TB_Entradas[Valor da Compra],TB_Entradas[Produto],TB_ControleEstoque[[#This Row],[Produto]])</f>
        <v>275</v>
      </c>
      <c r="J12" s="10">
        <f>TB_ControleEstoque[[#This Row],[Valor de Venda]]-TB_ControleEstoque[[#This Row],[Custo Total]]</f>
        <v>1317.5</v>
      </c>
      <c r="L12" s="82"/>
      <c r="M12" s="82"/>
      <c r="N12" s="82"/>
      <c r="O12" s="82"/>
      <c r="P12" s="82"/>
    </row>
    <row r="13" spans="2:17" x14ac:dyDescent="0.3">
      <c r="B13" t="s">
        <v>28</v>
      </c>
      <c r="C13" s="2">
        <f>IFERROR(SUMIF(TB_Entradas[Produto],TB_ControleEstoque[[#This Row],[Produto]],TB_Entradas[Quantidade Comprada]),0)</f>
        <v>50</v>
      </c>
      <c r="D13" s="2">
        <f>IFERROR(SUMIF(TB_Saídas[Produto],TB_ControleEstoque[[#This Row],[Produto]],TB_Saídas[Quantidade Vendida]),0)</f>
        <v>30</v>
      </c>
      <c r="E13" s="2">
        <f>TB_ControleEstoque[[#This Row],[Entradas]]-TB_ControleEstoque[[#This Row],[Saídas ]]</f>
        <v>20</v>
      </c>
      <c r="F13" s="2">
        <f>_xlfn.XLOOKUP(TB_ControleEstoque[[#This Row],[Produto]],TB_Produtos[Produto],TB_Produtos[Estoque Mínimo],"Erro",0,1)</f>
        <v>2</v>
      </c>
      <c r="G13" t="str" cm="1">
        <f t="array" ref="G13">_xlfn.IFS(TB_ControleEstoque[[#This Row],[Saldo em Estoque]]&gt;TB_ControleEstoque[[#This Row],[Estoque Mínimo]],"Estoque OK",TB_ControleEstoque[[#This Row],[Saldo em Estoque]]=0,"Estoque Zerado",1,"Repor Estoque")</f>
        <v>Estoque OK</v>
      </c>
      <c r="H13" s="12">
        <f>SUMIFS(TB_Saídas[Valor de Venda],TB_Saídas[Produto],TB_ControleEstoque[[#This Row],[Produto]])</f>
        <v>450</v>
      </c>
      <c r="I13" s="10">
        <f>SUMIFS(TB_Entradas[Valor da Compra],TB_Entradas[Produto],TB_ControleEstoque[[#This Row],[Produto]])</f>
        <v>225</v>
      </c>
      <c r="J13" s="10">
        <f>TB_ControleEstoque[[#This Row],[Valor de Venda]]-TB_ControleEstoque[[#This Row],[Custo Total]]</f>
        <v>225</v>
      </c>
    </row>
    <row r="14" spans="2:17" x14ac:dyDescent="0.3">
      <c r="B14" t="s">
        <v>23</v>
      </c>
      <c r="C14" s="2">
        <f>IFERROR(SUMIF(TB_Entradas[Produto],TB_ControleEstoque[[#This Row],[Produto]],TB_Entradas[Quantidade Comprada]),0)</f>
        <v>100</v>
      </c>
      <c r="D14" s="2">
        <f>IFERROR(SUMIF(TB_Saídas[Produto],TB_ControleEstoque[[#This Row],[Produto]],TB_Saídas[Quantidade Vendida]),0)</f>
        <v>90</v>
      </c>
      <c r="E14" s="2">
        <f>TB_ControleEstoque[[#This Row],[Entradas]]-TB_ControleEstoque[[#This Row],[Saídas ]]</f>
        <v>10</v>
      </c>
      <c r="F14" s="2">
        <f>_xlfn.XLOOKUP(TB_ControleEstoque[[#This Row],[Produto]],TB_Produtos[Produto],TB_Produtos[Estoque Mínimo],"Erro",0,1)</f>
        <v>10</v>
      </c>
      <c r="G14" t="str" cm="1">
        <f t="array" ref="G14">_xlfn.IFS(TB_ControleEstoque[[#This Row],[Saldo em Estoque]]&gt;TB_ControleEstoque[[#This Row],[Estoque Mínimo]],"Estoque OK",TB_ControleEstoque[[#This Row],[Saldo em Estoque]]=0,"Estoque Zerado",1,"Repor Estoque")</f>
        <v>Repor Estoque</v>
      </c>
      <c r="H14" s="12">
        <f>SUMIFS(TB_Saídas[Valor de Venda],TB_Saídas[Produto],TB_ControleEstoque[[#This Row],[Produto]])</f>
        <v>450</v>
      </c>
      <c r="I14" s="10">
        <f>SUMIFS(TB_Entradas[Valor da Compra],TB_Entradas[Produto],TB_ControleEstoque[[#This Row],[Produto]])</f>
        <v>100</v>
      </c>
      <c r="J14" s="10">
        <f>TB_ControleEstoque[[#This Row],[Valor de Venda]]-TB_ControleEstoque[[#This Row],[Custo Total]]</f>
        <v>350</v>
      </c>
    </row>
    <row r="15" spans="2:17" x14ac:dyDescent="0.3">
      <c r="B15" t="s">
        <v>27</v>
      </c>
      <c r="C15" s="2">
        <f>IFERROR(SUMIF(TB_Entradas[Produto],TB_ControleEstoque[[#This Row],[Produto]],TB_Entradas[Quantidade Comprada]),0)</f>
        <v>60</v>
      </c>
      <c r="D15" s="2">
        <f>IFERROR(SUMIF(TB_Saídas[Produto],TB_ControleEstoque[[#This Row],[Produto]],TB_Saídas[Quantidade Vendida]),0)</f>
        <v>50</v>
      </c>
      <c r="E15" s="2">
        <f>TB_ControleEstoque[[#This Row],[Entradas]]-TB_ControleEstoque[[#This Row],[Saídas ]]</f>
        <v>10</v>
      </c>
      <c r="F15" s="2">
        <f>_xlfn.XLOOKUP(TB_ControleEstoque[[#This Row],[Produto]],TB_Produtos[Produto],TB_Produtos[Estoque Mínimo],"Erro",0,1)</f>
        <v>2</v>
      </c>
      <c r="G15" t="str" cm="1">
        <f t="array" ref="G15">_xlfn.IFS(TB_ControleEstoque[[#This Row],[Saldo em Estoque]]&gt;TB_ControleEstoque[[#This Row],[Estoque Mínimo]],"Estoque OK",TB_ControleEstoque[[#This Row],[Saldo em Estoque]]=0,"Estoque Zerado",1,"Repor Estoque")</f>
        <v>Estoque OK</v>
      </c>
      <c r="H15" s="12">
        <f>SUMIFS(TB_Saídas[Valor de Venda],TB_Saídas[Produto],TB_ControleEstoque[[#This Row],[Produto]])</f>
        <v>750</v>
      </c>
      <c r="I15" s="10">
        <f>SUMIFS(TB_Entradas[Valor da Compra],TB_Entradas[Produto],TB_ControleEstoque[[#This Row],[Produto]])</f>
        <v>480</v>
      </c>
      <c r="J15" s="10">
        <f>TB_ControleEstoque[[#This Row],[Valor de Venda]]-TB_ControleEstoque[[#This Row],[Custo Total]]</f>
        <v>270</v>
      </c>
    </row>
    <row r="18" spans="10:10" x14ac:dyDescent="0.3">
      <c r="J18" s="13"/>
    </row>
  </sheetData>
  <mergeCells count="3">
    <mergeCell ref="N7:P7"/>
    <mergeCell ref="N9:N10"/>
    <mergeCell ref="P9:P10"/>
  </mergeCells>
  <conditionalFormatting sqref="B6:J15">
    <cfRule type="expression" dxfId="1" priority="1">
      <formula>$G6="Estoque Zerado"</formula>
    </cfRule>
    <cfRule type="expression" dxfId="0" priority="2">
      <formula>$G6="Repor Estoque"</formula>
    </cfRule>
  </conditionalFormatting>
  <dataValidations count="1">
    <dataValidation type="list" allowBlank="1" showInputMessage="1" showErrorMessage="1" sqref="B6:B15" xr:uid="{8AC61758-FD11-40E3-B22B-102EEFB58504}">
      <formula1>Lista_Produtos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39B9-606D-4025-9A41-1FF8DB47ECE5}">
  <dimension ref="B1:AU26"/>
  <sheetViews>
    <sheetView showGridLines="0" zoomScale="110" zoomScaleNormal="110" workbookViewId="0">
      <selection activeCell="BE10" sqref="BE10"/>
    </sheetView>
  </sheetViews>
  <sheetFormatPr defaultColWidth="2.44140625" defaultRowHeight="10.5" customHeight="1" x14ac:dyDescent="0.3"/>
  <sheetData>
    <row r="1" spans="2:47" s="29" customFormat="1" ht="60" customHeight="1" x14ac:dyDescent="0.3">
      <c r="AD1" s="39" t="s">
        <v>80</v>
      </c>
    </row>
    <row r="2" spans="2:47" s="34" customFormat="1" ht="6" customHeight="1" x14ac:dyDescent="0.3">
      <c r="F2" s="35"/>
    </row>
    <row r="3" spans="2:47" ht="6" customHeight="1" x14ac:dyDescent="0.3"/>
    <row r="4" spans="2:47" ht="4.5" customHeight="1" thickBot="1" x14ac:dyDescent="0.35"/>
    <row r="5" spans="2:47" ht="10.5" customHeight="1" x14ac:dyDescent="0.3">
      <c r="C5" s="122" t="s">
        <v>81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4"/>
      <c r="AB5" s="122" t="s">
        <v>82</v>
      </c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4"/>
    </row>
    <row r="6" spans="2:47" ht="10.5" customHeight="1" x14ac:dyDescent="0.3">
      <c r="B6" s="82"/>
      <c r="C6" s="125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7"/>
      <c r="AA6" s="82"/>
      <c r="AB6" s="125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7"/>
    </row>
    <row r="7" spans="2:47" ht="10.5" customHeight="1" x14ac:dyDescent="0.3">
      <c r="B7" s="82"/>
      <c r="C7" s="71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3"/>
      <c r="AA7" s="82"/>
      <c r="AB7" s="71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128" t="s">
        <v>1</v>
      </c>
      <c r="AN7" s="128"/>
      <c r="AO7" s="128"/>
      <c r="AP7" s="128"/>
      <c r="AQ7" s="128"/>
      <c r="AR7" s="128"/>
      <c r="AS7" s="128"/>
      <c r="AT7" s="128"/>
      <c r="AU7" s="73"/>
    </row>
    <row r="8" spans="2:47" ht="10.5" customHeight="1" x14ac:dyDescent="0.3">
      <c r="B8" s="82"/>
      <c r="C8" s="74"/>
      <c r="D8" s="92" t="s">
        <v>83</v>
      </c>
      <c r="E8" s="92"/>
      <c r="F8" s="92"/>
      <c r="G8" s="92"/>
      <c r="H8" s="92"/>
      <c r="I8" s="92"/>
      <c r="J8" s="92"/>
      <c r="K8" s="92"/>
      <c r="L8" s="92"/>
      <c r="M8" s="92"/>
      <c r="N8" s="93">
        <f>COUNTA(_xlfn.UNIQUE(TB_Saídas[Produto]))</f>
        <v>10</v>
      </c>
      <c r="O8" s="93"/>
      <c r="P8" s="93"/>
      <c r="Q8" s="93"/>
      <c r="R8" s="93"/>
      <c r="S8" s="93"/>
      <c r="T8" s="93"/>
      <c r="U8" s="93"/>
      <c r="V8" s="79"/>
      <c r="AA8" s="82"/>
      <c r="AB8" s="74"/>
      <c r="AC8" s="96" t="s">
        <v>84</v>
      </c>
      <c r="AD8" s="96"/>
      <c r="AE8" s="96"/>
      <c r="AF8" s="96"/>
      <c r="AG8" s="96"/>
      <c r="AH8" s="96"/>
      <c r="AI8" s="96"/>
      <c r="AJ8" s="96"/>
      <c r="AK8" s="96"/>
      <c r="AL8" s="97"/>
      <c r="AM8" s="110" t="s">
        <v>6</v>
      </c>
      <c r="AN8" s="111"/>
      <c r="AO8" s="111"/>
      <c r="AP8" s="111"/>
      <c r="AQ8" s="111"/>
      <c r="AR8" s="111"/>
      <c r="AS8" s="111"/>
      <c r="AT8" s="112"/>
      <c r="AU8" s="79"/>
    </row>
    <row r="9" spans="2:47" ht="10.5" customHeight="1" x14ac:dyDescent="0.3">
      <c r="B9" s="82"/>
      <c r="C9" s="74"/>
      <c r="D9" s="92"/>
      <c r="E9" s="92"/>
      <c r="F9" s="92"/>
      <c r="G9" s="92"/>
      <c r="H9" s="92"/>
      <c r="I9" s="92"/>
      <c r="J9" s="92"/>
      <c r="K9" s="92"/>
      <c r="L9" s="92"/>
      <c r="M9" s="92"/>
      <c r="N9" s="93"/>
      <c r="O9" s="93"/>
      <c r="P9" s="93"/>
      <c r="Q9" s="93"/>
      <c r="R9" s="93"/>
      <c r="S9" s="93"/>
      <c r="T9" s="93"/>
      <c r="U9" s="93"/>
      <c r="V9" s="79"/>
      <c r="AA9" s="82"/>
      <c r="AB9" s="74"/>
      <c r="AC9" s="96"/>
      <c r="AD9" s="96"/>
      <c r="AE9" s="96"/>
      <c r="AF9" s="96"/>
      <c r="AG9" s="96"/>
      <c r="AH9" s="96"/>
      <c r="AI9" s="96"/>
      <c r="AJ9" s="96"/>
      <c r="AK9" s="96"/>
      <c r="AL9" s="97"/>
      <c r="AM9" s="113"/>
      <c r="AN9" s="114"/>
      <c r="AO9" s="114"/>
      <c r="AP9" s="114"/>
      <c r="AQ9" s="114"/>
      <c r="AR9" s="114"/>
      <c r="AS9" s="114"/>
      <c r="AT9" s="115"/>
      <c r="AU9" s="79"/>
    </row>
    <row r="10" spans="2:47" ht="10.5" customHeight="1" x14ac:dyDescent="0.35">
      <c r="B10" s="82"/>
      <c r="C10" s="74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8"/>
      <c r="O10" s="78"/>
      <c r="P10" s="78"/>
      <c r="Q10" s="78"/>
      <c r="R10" s="78"/>
      <c r="S10" s="78"/>
      <c r="T10" s="78"/>
      <c r="U10" s="78"/>
      <c r="V10" s="79"/>
      <c r="AA10" s="82"/>
      <c r="AB10" s="74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79"/>
    </row>
    <row r="11" spans="2:47" ht="10.5" customHeight="1" x14ac:dyDescent="0.3">
      <c r="B11" s="82"/>
      <c r="C11" s="74"/>
      <c r="D11" s="92" t="s">
        <v>85</v>
      </c>
      <c r="E11" s="92"/>
      <c r="F11" s="92"/>
      <c r="G11" s="92"/>
      <c r="H11" s="92"/>
      <c r="I11" s="92"/>
      <c r="J11" s="92"/>
      <c r="K11" s="92"/>
      <c r="L11" s="92"/>
      <c r="M11" s="92"/>
      <c r="N11" s="93">
        <f>SUM(TB_ControleEstoque[Saldo em Estoque])</f>
        <v>1670</v>
      </c>
      <c r="O11" s="93"/>
      <c r="P11" s="93"/>
      <c r="Q11" s="93"/>
      <c r="R11" s="93"/>
      <c r="S11" s="93"/>
      <c r="T11" s="93"/>
      <c r="U11" s="93"/>
      <c r="V11" s="79"/>
      <c r="AA11" s="82"/>
      <c r="AB11" s="74"/>
      <c r="AC11" s="96" t="s">
        <v>85</v>
      </c>
      <c r="AD11" s="96"/>
      <c r="AE11" s="96"/>
      <c r="AF11" s="96"/>
      <c r="AG11" s="96"/>
      <c r="AH11" s="96"/>
      <c r="AI11" s="96"/>
      <c r="AJ11" s="96"/>
      <c r="AK11" s="96"/>
      <c r="AL11" s="97"/>
      <c r="AM11" s="116">
        <f>DSUM(TB_ControleEstoque[#All],TB_ControleEstoque[[#Headers],[Saldo em Estoque]],CriteriosConsultaProduto)</f>
        <v>690</v>
      </c>
      <c r="AN11" s="99"/>
      <c r="AO11" s="99"/>
      <c r="AP11" s="99"/>
      <c r="AQ11" s="99"/>
      <c r="AR11" s="99"/>
      <c r="AS11" s="99"/>
      <c r="AT11" s="100"/>
      <c r="AU11" s="79"/>
    </row>
    <row r="12" spans="2:47" ht="10.5" customHeight="1" x14ac:dyDescent="0.3">
      <c r="B12" s="82"/>
      <c r="C12" s="74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3"/>
      <c r="O12" s="93"/>
      <c r="P12" s="93"/>
      <c r="Q12" s="93"/>
      <c r="R12" s="93"/>
      <c r="S12" s="93"/>
      <c r="T12" s="93"/>
      <c r="U12" s="93"/>
      <c r="V12" s="79"/>
      <c r="AA12" s="82"/>
      <c r="AB12" s="74"/>
      <c r="AC12" s="96"/>
      <c r="AD12" s="96"/>
      <c r="AE12" s="96"/>
      <c r="AF12" s="96"/>
      <c r="AG12" s="96"/>
      <c r="AH12" s="96"/>
      <c r="AI12" s="96"/>
      <c r="AJ12" s="96"/>
      <c r="AK12" s="96"/>
      <c r="AL12" s="97"/>
      <c r="AM12" s="101"/>
      <c r="AN12" s="102"/>
      <c r="AO12" s="102"/>
      <c r="AP12" s="102"/>
      <c r="AQ12" s="102"/>
      <c r="AR12" s="102"/>
      <c r="AS12" s="102"/>
      <c r="AT12" s="103"/>
      <c r="AU12" s="79"/>
    </row>
    <row r="13" spans="2:47" ht="10.5" customHeight="1" x14ac:dyDescent="0.35">
      <c r="B13" s="82"/>
      <c r="C13" s="74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80"/>
      <c r="O13" s="80"/>
      <c r="P13" s="80"/>
      <c r="Q13" s="80"/>
      <c r="R13" s="80"/>
      <c r="S13" s="80"/>
      <c r="T13" s="80"/>
      <c r="U13" s="80"/>
      <c r="V13" s="79"/>
      <c r="AA13" s="82"/>
      <c r="AB13" s="74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79"/>
    </row>
    <row r="14" spans="2:47" ht="10.5" customHeight="1" x14ac:dyDescent="0.3">
      <c r="B14" s="82"/>
      <c r="C14" s="74"/>
      <c r="D14" s="92" t="s">
        <v>86</v>
      </c>
      <c r="E14" s="92"/>
      <c r="F14" s="92"/>
      <c r="G14" s="92"/>
      <c r="H14" s="92"/>
      <c r="I14" s="92"/>
      <c r="J14" s="92"/>
      <c r="K14" s="92"/>
      <c r="L14" s="92"/>
      <c r="M14" s="92"/>
      <c r="N14" s="94">
        <f>SUM(TB_Saídas[Valor de Venda])</f>
        <v>19042.5</v>
      </c>
      <c r="O14" s="94"/>
      <c r="P14" s="94"/>
      <c r="Q14" s="94"/>
      <c r="R14" s="94"/>
      <c r="S14" s="94"/>
      <c r="T14" s="94"/>
      <c r="U14" s="94"/>
      <c r="V14" s="79"/>
      <c r="AA14" s="82"/>
      <c r="AB14" s="74"/>
      <c r="AC14" s="96" t="s">
        <v>86</v>
      </c>
      <c r="AD14" s="96"/>
      <c r="AE14" s="96"/>
      <c r="AF14" s="96"/>
      <c r="AG14" s="96"/>
      <c r="AH14" s="96"/>
      <c r="AI14" s="96"/>
      <c r="AJ14" s="96"/>
      <c r="AK14" s="96"/>
      <c r="AL14" s="97"/>
      <c r="AM14" s="98">
        <f>DSUM(TB_Saídas[#All],TB_Saídas[[#Headers],[Valor de Venda]],CriteriosConsultaProduto)</f>
        <v>5670</v>
      </c>
      <c r="AN14" s="117"/>
      <c r="AO14" s="117"/>
      <c r="AP14" s="117"/>
      <c r="AQ14" s="117"/>
      <c r="AR14" s="117"/>
      <c r="AS14" s="117"/>
      <c r="AT14" s="118"/>
      <c r="AU14" s="79"/>
    </row>
    <row r="15" spans="2:47" ht="10.5" customHeight="1" x14ac:dyDescent="0.3">
      <c r="B15" s="82"/>
      <c r="C15" s="74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4"/>
      <c r="O15" s="94"/>
      <c r="P15" s="94"/>
      <c r="Q15" s="94"/>
      <c r="R15" s="94"/>
      <c r="S15" s="94"/>
      <c r="T15" s="94"/>
      <c r="U15" s="94"/>
      <c r="V15" s="79"/>
      <c r="AA15" s="82"/>
      <c r="AB15" s="74"/>
      <c r="AC15" s="96"/>
      <c r="AD15" s="96"/>
      <c r="AE15" s="96"/>
      <c r="AF15" s="96"/>
      <c r="AG15" s="96"/>
      <c r="AH15" s="96"/>
      <c r="AI15" s="96"/>
      <c r="AJ15" s="96"/>
      <c r="AK15" s="96"/>
      <c r="AL15" s="97"/>
      <c r="AM15" s="119"/>
      <c r="AN15" s="120"/>
      <c r="AO15" s="120"/>
      <c r="AP15" s="120"/>
      <c r="AQ15" s="120"/>
      <c r="AR15" s="120"/>
      <c r="AS15" s="120"/>
      <c r="AT15" s="121"/>
      <c r="AU15" s="79"/>
    </row>
    <row r="16" spans="2:47" ht="10.5" customHeight="1" x14ac:dyDescent="0.35">
      <c r="B16" s="82"/>
      <c r="C16" s="74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80"/>
      <c r="O16" s="80"/>
      <c r="P16" s="80"/>
      <c r="Q16" s="80"/>
      <c r="R16" s="80"/>
      <c r="S16" s="80"/>
      <c r="T16" s="80"/>
      <c r="U16" s="80"/>
      <c r="V16" s="79"/>
      <c r="AA16" s="82"/>
      <c r="AB16" s="74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79"/>
    </row>
    <row r="17" spans="2:47" ht="10.5" customHeight="1" x14ac:dyDescent="0.3">
      <c r="B17" s="82"/>
      <c r="C17" s="74"/>
      <c r="D17" s="92" t="s">
        <v>87</v>
      </c>
      <c r="E17" s="92"/>
      <c r="F17" s="92"/>
      <c r="G17" s="92"/>
      <c r="H17" s="92"/>
      <c r="I17" s="92"/>
      <c r="J17" s="92"/>
      <c r="K17" s="92"/>
      <c r="L17" s="92"/>
      <c r="M17" s="92"/>
      <c r="N17" s="94">
        <f>SUM(TB_Entradas[Valor da Compra])</f>
        <v>5530</v>
      </c>
      <c r="O17" s="94"/>
      <c r="P17" s="94"/>
      <c r="Q17" s="94"/>
      <c r="R17" s="94"/>
      <c r="S17" s="94"/>
      <c r="T17" s="94"/>
      <c r="U17" s="94"/>
      <c r="V17" s="79"/>
      <c r="AA17" s="82"/>
      <c r="AB17" s="74"/>
      <c r="AC17" s="96" t="s">
        <v>87</v>
      </c>
      <c r="AD17" s="96"/>
      <c r="AE17" s="96"/>
      <c r="AF17" s="96"/>
      <c r="AG17" s="96"/>
      <c r="AH17" s="96"/>
      <c r="AI17" s="96"/>
      <c r="AJ17" s="96"/>
      <c r="AK17" s="96"/>
      <c r="AL17" s="97"/>
      <c r="AM17" s="98">
        <f>DSUM(TB_Entradas[#All],TB_Entradas[[#Headers],[Valor da Compra]],CriteriosConsultaProduto)</f>
        <v>3270</v>
      </c>
      <c r="AN17" s="117"/>
      <c r="AO17" s="117"/>
      <c r="AP17" s="117"/>
      <c r="AQ17" s="117"/>
      <c r="AR17" s="117"/>
      <c r="AS17" s="117"/>
      <c r="AT17" s="118"/>
      <c r="AU17" s="79"/>
    </row>
    <row r="18" spans="2:47" ht="10.5" customHeight="1" x14ac:dyDescent="0.3">
      <c r="B18" s="82"/>
      <c r="C18" s="74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4"/>
      <c r="O18" s="94"/>
      <c r="P18" s="94"/>
      <c r="Q18" s="94"/>
      <c r="R18" s="94"/>
      <c r="S18" s="94"/>
      <c r="T18" s="94"/>
      <c r="U18" s="94"/>
      <c r="V18" s="79"/>
      <c r="AA18" s="82"/>
      <c r="AB18" s="74"/>
      <c r="AC18" s="96"/>
      <c r="AD18" s="96"/>
      <c r="AE18" s="96"/>
      <c r="AF18" s="96"/>
      <c r="AG18" s="96"/>
      <c r="AH18" s="96"/>
      <c r="AI18" s="96"/>
      <c r="AJ18" s="96"/>
      <c r="AK18" s="96"/>
      <c r="AL18" s="97"/>
      <c r="AM18" s="119"/>
      <c r="AN18" s="120"/>
      <c r="AO18" s="120"/>
      <c r="AP18" s="120"/>
      <c r="AQ18" s="120"/>
      <c r="AR18" s="120"/>
      <c r="AS18" s="120"/>
      <c r="AT18" s="121"/>
      <c r="AU18" s="79"/>
    </row>
    <row r="19" spans="2:47" ht="10.5" customHeight="1" x14ac:dyDescent="0.35">
      <c r="B19" s="82"/>
      <c r="C19" s="74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80"/>
      <c r="O19" s="80"/>
      <c r="P19" s="80"/>
      <c r="Q19" s="80"/>
      <c r="R19" s="80"/>
      <c r="S19" s="80"/>
      <c r="T19" s="80"/>
      <c r="U19" s="80"/>
      <c r="V19" s="79"/>
      <c r="AA19" s="82"/>
      <c r="AB19" s="74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79"/>
    </row>
    <row r="20" spans="2:47" ht="10.5" customHeight="1" x14ac:dyDescent="0.3">
      <c r="B20" s="82"/>
      <c r="C20" s="74"/>
      <c r="D20" s="92" t="s">
        <v>88</v>
      </c>
      <c r="E20" s="92"/>
      <c r="F20" s="92"/>
      <c r="G20" s="92"/>
      <c r="H20" s="92"/>
      <c r="I20" s="92"/>
      <c r="J20" s="92"/>
      <c r="K20" s="92"/>
      <c r="L20" s="92"/>
      <c r="M20" s="92"/>
      <c r="N20" s="94">
        <f>N14-N17</f>
        <v>13512.5</v>
      </c>
      <c r="O20" s="94"/>
      <c r="P20" s="94"/>
      <c r="Q20" s="94"/>
      <c r="R20" s="94"/>
      <c r="S20" s="94"/>
      <c r="T20" s="94"/>
      <c r="U20" s="94"/>
      <c r="V20" s="79"/>
      <c r="AA20" s="82"/>
      <c r="AB20" s="74"/>
      <c r="AC20" s="96" t="s">
        <v>88</v>
      </c>
      <c r="AD20" s="96"/>
      <c r="AE20" s="96"/>
      <c r="AF20" s="96"/>
      <c r="AG20" s="96"/>
      <c r="AH20" s="96"/>
      <c r="AI20" s="96"/>
      <c r="AJ20" s="96"/>
      <c r="AK20" s="96"/>
      <c r="AL20" s="97"/>
      <c r="AM20" s="98">
        <f>AM14-AM17</f>
        <v>2400</v>
      </c>
      <c r="AN20" s="99"/>
      <c r="AO20" s="99"/>
      <c r="AP20" s="99"/>
      <c r="AQ20" s="99"/>
      <c r="AR20" s="99"/>
      <c r="AS20" s="99"/>
      <c r="AT20" s="100"/>
      <c r="AU20" s="79"/>
    </row>
    <row r="21" spans="2:47" ht="10.5" customHeight="1" x14ac:dyDescent="0.3">
      <c r="B21" s="82"/>
      <c r="C21" s="74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4"/>
      <c r="O21" s="94"/>
      <c r="P21" s="94"/>
      <c r="Q21" s="94"/>
      <c r="R21" s="94"/>
      <c r="S21" s="94"/>
      <c r="T21" s="94"/>
      <c r="U21" s="94"/>
      <c r="V21" s="79"/>
      <c r="AA21" s="82"/>
      <c r="AB21" s="74"/>
      <c r="AC21" s="96"/>
      <c r="AD21" s="96"/>
      <c r="AE21" s="96"/>
      <c r="AF21" s="96"/>
      <c r="AG21" s="96"/>
      <c r="AH21" s="96"/>
      <c r="AI21" s="96"/>
      <c r="AJ21" s="96"/>
      <c r="AK21" s="96"/>
      <c r="AL21" s="97"/>
      <c r="AM21" s="101"/>
      <c r="AN21" s="102"/>
      <c r="AO21" s="102"/>
      <c r="AP21" s="102"/>
      <c r="AQ21" s="102"/>
      <c r="AR21" s="102"/>
      <c r="AS21" s="102"/>
      <c r="AT21" s="103"/>
      <c r="AU21" s="79"/>
    </row>
    <row r="22" spans="2:47" ht="10.5" customHeight="1" x14ac:dyDescent="0.35">
      <c r="B22" s="82"/>
      <c r="C22" s="74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80"/>
      <c r="O22" s="80"/>
      <c r="P22" s="80"/>
      <c r="Q22" s="80"/>
      <c r="R22" s="80"/>
      <c r="S22" s="80"/>
      <c r="T22" s="80"/>
      <c r="U22" s="80"/>
      <c r="V22" s="79"/>
      <c r="AA22" s="82"/>
      <c r="AB22" s="74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79"/>
    </row>
    <row r="23" spans="2:47" ht="10.5" customHeight="1" x14ac:dyDescent="0.3">
      <c r="B23" s="82"/>
      <c r="C23" s="74"/>
      <c r="D23" s="92" t="s">
        <v>89</v>
      </c>
      <c r="E23" s="92"/>
      <c r="F23" s="92"/>
      <c r="G23" s="92"/>
      <c r="H23" s="92"/>
      <c r="I23" s="92"/>
      <c r="J23" s="92"/>
      <c r="K23" s="92"/>
      <c r="L23" s="92"/>
      <c r="M23" s="92"/>
      <c r="N23" s="95">
        <f>N20/N17</f>
        <v>2.4434900542495481</v>
      </c>
      <c r="O23" s="95"/>
      <c r="P23" s="95"/>
      <c r="Q23" s="95"/>
      <c r="R23" s="95"/>
      <c r="S23" s="95"/>
      <c r="T23" s="95"/>
      <c r="U23" s="95"/>
      <c r="V23" s="79"/>
      <c r="AA23" s="82"/>
      <c r="AB23" s="74"/>
      <c r="AC23" s="96" t="s">
        <v>89</v>
      </c>
      <c r="AD23" s="96"/>
      <c r="AE23" s="96"/>
      <c r="AF23" s="96"/>
      <c r="AG23" s="96"/>
      <c r="AH23" s="96"/>
      <c r="AI23" s="96"/>
      <c r="AJ23" s="96"/>
      <c r="AK23" s="96"/>
      <c r="AL23" s="97"/>
      <c r="AM23" s="104">
        <f>AM20/AM17</f>
        <v>0.73394495412844041</v>
      </c>
      <c r="AN23" s="105"/>
      <c r="AO23" s="105"/>
      <c r="AP23" s="105"/>
      <c r="AQ23" s="105"/>
      <c r="AR23" s="105"/>
      <c r="AS23" s="105"/>
      <c r="AT23" s="106"/>
      <c r="AU23" s="79"/>
    </row>
    <row r="24" spans="2:47" ht="10.5" customHeight="1" x14ac:dyDescent="0.3">
      <c r="B24" s="82"/>
      <c r="C24" s="74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5"/>
      <c r="O24" s="95"/>
      <c r="P24" s="95"/>
      <c r="Q24" s="95"/>
      <c r="R24" s="95"/>
      <c r="S24" s="95"/>
      <c r="T24" s="95"/>
      <c r="U24" s="95"/>
      <c r="V24" s="79"/>
      <c r="AA24" s="82"/>
      <c r="AB24" s="74"/>
      <c r="AC24" s="96"/>
      <c r="AD24" s="96"/>
      <c r="AE24" s="96"/>
      <c r="AF24" s="96"/>
      <c r="AG24" s="96"/>
      <c r="AH24" s="96"/>
      <c r="AI24" s="96"/>
      <c r="AJ24" s="96"/>
      <c r="AK24" s="96"/>
      <c r="AL24" s="97"/>
      <c r="AM24" s="107"/>
      <c r="AN24" s="108"/>
      <c r="AO24" s="108"/>
      <c r="AP24" s="108"/>
      <c r="AQ24" s="108"/>
      <c r="AR24" s="108"/>
      <c r="AS24" s="108"/>
      <c r="AT24" s="109"/>
      <c r="AU24" s="79"/>
    </row>
    <row r="25" spans="2:47" ht="10.5" customHeight="1" thickBot="1" x14ac:dyDescent="0.35">
      <c r="B25" s="82"/>
      <c r="C25" s="76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81"/>
      <c r="AA25" s="82"/>
      <c r="AB25" s="76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81"/>
    </row>
    <row r="26" spans="2:47" ht="10.5" customHeight="1" x14ac:dyDescent="0.3"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</row>
  </sheetData>
  <sheetProtection selectLockedCells="1"/>
  <mergeCells count="27">
    <mergeCell ref="AB5:AU6"/>
    <mergeCell ref="C5:V6"/>
    <mergeCell ref="AM7:AT7"/>
    <mergeCell ref="AC17:AL18"/>
    <mergeCell ref="AM17:AT18"/>
    <mergeCell ref="D8:M9"/>
    <mergeCell ref="D11:M12"/>
    <mergeCell ref="D14:M15"/>
    <mergeCell ref="D17:M18"/>
    <mergeCell ref="AC20:AL21"/>
    <mergeCell ref="AM20:AT21"/>
    <mergeCell ref="AC23:AL24"/>
    <mergeCell ref="AM23:AT24"/>
    <mergeCell ref="AC8:AL9"/>
    <mergeCell ref="AM8:AT9"/>
    <mergeCell ref="AC11:AL12"/>
    <mergeCell ref="AM11:AT12"/>
    <mergeCell ref="AC14:AL15"/>
    <mergeCell ref="AM14:AT15"/>
    <mergeCell ref="D20:M21"/>
    <mergeCell ref="D23:M24"/>
    <mergeCell ref="N8:U9"/>
    <mergeCell ref="N11:U12"/>
    <mergeCell ref="N14:U15"/>
    <mergeCell ref="N17:U18"/>
    <mergeCell ref="N20:U21"/>
    <mergeCell ref="N23:U24"/>
  </mergeCells>
  <dataValidations count="1">
    <dataValidation type="list" allowBlank="1" showInputMessage="1" showErrorMessage="1" sqref="AM8:AT9" xr:uid="{BA2D04B6-D7BF-4ACA-AA8D-0DA4AB77DFCC}">
      <formula1>Lista_Produtos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9FBE-C740-40D4-BE54-D2C9105FD878}">
  <dimension ref="A1:F27"/>
  <sheetViews>
    <sheetView workbookViewId="0">
      <selection activeCell="B1" sqref="B1"/>
    </sheetView>
  </sheetViews>
  <sheetFormatPr defaultRowHeight="14.4" x14ac:dyDescent="0.3"/>
  <cols>
    <col min="5" max="5" width="15.88671875" bestFit="1" customWidth="1"/>
  </cols>
  <sheetData>
    <row r="1" spans="1:6" x14ac:dyDescent="0.3">
      <c r="A1" t="str" cm="1">
        <f t="array" ref="A1:A27">TB_Produtos[Produto]</f>
        <v>Café</v>
      </c>
      <c r="B1">
        <f>SUMIF(TB_Saídas[Produto],A1,TB_Saídas[Quantidade Vendida])</f>
        <v>945</v>
      </c>
      <c r="E1" t="str" cm="1">
        <f t="array" ref="E1:E27">TB_Produtos[Produto]</f>
        <v>Café</v>
      </c>
      <c r="F1">
        <f>SUMIF(TB_Saídas[Produto],A1,TB_Saídas[Valor de Venda])</f>
        <v>5670</v>
      </c>
    </row>
    <row r="2" spans="1:6" x14ac:dyDescent="0.3">
      <c r="A2" t="str">
        <v>Pão</v>
      </c>
      <c r="B2">
        <f>SUMIF(TB_Saídas[Produto],A2,TB_Saídas[Quantidade Vendida])</f>
        <v>0</v>
      </c>
      <c r="E2" t="str">
        <v>Pão</v>
      </c>
      <c r="F2">
        <f>SUMIF(TB_Saídas[Produto],A2,TB_Saídas[Valor de Venda])</f>
        <v>0</v>
      </c>
    </row>
    <row r="3" spans="1:6" x14ac:dyDescent="0.3">
      <c r="A3" t="str">
        <v>Coxinha</v>
      </c>
      <c r="B3">
        <f>SUMIF(TB_Saídas[Produto],A3,TB_Saídas[Quantidade Vendida])</f>
        <v>245</v>
      </c>
      <c r="E3" t="str">
        <v>Coxinha</v>
      </c>
      <c r="F3">
        <f>SUMIF(TB_Saídas[Produto],A3,TB_Saídas[Valor de Venda])</f>
        <v>1592.5</v>
      </c>
    </row>
    <row r="4" spans="1:6" x14ac:dyDescent="0.3">
      <c r="A4" t="str">
        <v>Esfiha</v>
      </c>
      <c r="B4">
        <f>SUMIF(TB_Saídas[Produto],A4,TB_Saídas[Quantidade Vendida])</f>
        <v>0</v>
      </c>
      <c r="E4" t="str">
        <v>Esfiha</v>
      </c>
      <c r="F4">
        <f>SUMIF(TB_Saídas[Produto],A4,TB_Saídas[Valor de Venda])</f>
        <v>0</v>
      </c>
    </row>
    <row r="5" spans="1:6" x14ac:dyDescent="0.3">
      <c r="A5" t="str">
        <v>Risoles</v>
      </c>
      <c r="B5">
        <f>SUMIF(TB_Saídas[Produto],A5,TB_Saídas[Quantidade Vendida])</f>
        <v>0</v>
      </c>
      <c r="E5" t="str">
        <v>Risoles</v>
      </c>
      <c r="F5">
        <f>SUMIF(TB_Saídas[Produto],A5,TB_Saídas[Valor de Venda])</f>
        <v>0</v>
      </c>
    </row>
    <row r="6" spans="1:6" x14ac:dyDescent="0.3">
      <c r="A6" t="str">
        <v>Empada</v>
      </c>
      <c r="B6">
        <f>SUMIF(TB_Saídas[Produto],A6,TB_Saídas[Quantidade Vendida])</f>
        <v>0</v>
      </c>
      <c r="E6" t="str">
        <v>Empada</v>
      </c>
      <c r="F6">
        <f>SUMIF(TB_Saídas[Produto],A6,TB_Saídas[Valor de Venda])</f>
        <v>0</v>
      </c>
    </row>
    <row r="7" spans="1:6" x14ac:dyDescent="0.3">
      <c r="A7" t="str">
        <v>Quibe</v>
      </c>
      <c r="B7">
        <f>SUMIF(TB_Saídas[Produto],A7,TB_Saídas[Quantidade Vendida])</f>
        <v>0</v>
      </c>
      <c r="E7" t="str">
        <v>Quibe</v>
      </c>
      <c r="F7">
        <f>SUMIF(TB_Saídas[Produto],A7,TB_Saídas[Valor de Venda])</f>
        <v>0</v>
      </c>
    </row>
    <row r="8" spans="1:6" x14ac:dyDescent="0.3">
      <c r="A8" t="str">
        <v>Chá</v>
      </c>
      <c r="B8">
        <f>SUMIF(TB_Saídas[Produto],A8,TB_Saídas[Quantidade Vendida])</f>
        <v>0</v>
      </c>
      <c r="E8" t="str">
        <v>Chá</v>
      </c>
      <c r="F8">
        <f>SUMIF(TB_Saídas[Produto],A8,TB_Saídas[Valor de Venda])</f>
        <v>0</v>
      </c>
    </row>
    <row r="9" spans="1:6" x14ac:dyDescent="0.3">
      <c r="A9" t="str">
        <v>Manteiga</v>
      </c>
      <c r="B9">
        <f>SUMIF(TB_Saídas[Produto],A9,TB_Saídas[Quantidade Vendida])</f>
        <v>0</v>
      </c>
      <c r="E9" t="str">
        <v>Manteiga</v>
      </c>
      <c r="F9">
        <f>SUMIF(TB_Saídas[Produto],A9,TB_Saídas[Valor de Venda])</f>
        <v>0</v>
      </c>
    </row>
    <row r="10" spans="1:6" x14ac:dyDescent="0.3">
      <c r="A10" t="str">
        <v>Requeijão</v>
      </c>
      <c r="B10">
        <f>SUMIF(TB_Saídas[Produto],A10,TB_Saídas[Quantidade Vendida])</f>
        <v>0</v>
      </c>
      <c r="E10" t="str">
        <v>Requeijão</v>
      </c>
      <c r="F10">
        <f>SUMIF(TB_Saídas[Produto],A10,TB_Saídas[Valor de Venda])</f>
        <v>0</v>
      </c>
    </row>
    <row r="11" spans="1:6" x14ac:dyDescent="0.3">
      <c r="A11" t="str">
        <v>Chocolate Quente</v>
      </c>
      <c r="B11">
        <f>SUMIF(TB_Saídas[Produto],A11,TB_Saídas[Quantidade Vendida])</f>
        <v>500</v>
      </c>
      <c r="E11" t="str">
        <v>Chocolate Quente</v>
      </c>
      <c r="F11">
        <f>SUMIF(TB_Saídas[Produto],A11,TB_Saídas[Valor de Venda])</f>
        <v>4250</v>
      </c>
    </row>
    <row r="12" spans="1:6" x14ac:dyDescent="0.3">
      <c r="A12" t="str">
        <v xml:space="preserve">Leite </v>
      </c>
      <c r="B12">
        <f>SUMIF(TB_Saídas[Produto],A12,TB_Saídas[Quantidade Vendida])</f>
        <v>0</v>
      </c>
      <c r="E12" t="str">
        <v xml:space="preserve">Leite </v>
      </c>
      <c r="F12">
        <f>SUMIF(TB_Saídas[Produto],A12,TB_Saídas[Valor de Venda])</f>
        <v>0</v>
      </c>
    </row>
    <row r="13" spans="1:6" x14ac:dyDescent="0.3">
      <c r="A13" t="str">
        <v>Açúcar</v>
      </c>
      <c r="B13">
        <f>SUMIF(TB_Saídas[Produto],A13,TB_Saídas[Quantidade Vendida])</f>
        <v>0</v>
      </c>
      <c r="E13" t="str">
        <v>Açúcar</v>
      </c>
      <c r="F13">
        <f>SUMIF(TB_Saídas[Produto],A13,TB_Saídas[Valor de Venda])</f>
        <v>0</v>
      </c>
    </row>
    <row r="14" spans="1:6" x14ac:dyDescent="0.3">
      <c r="A14" t="str">
        <v>Mini Pizza</v>
      </c>
      <c r="B14">
        <f>SUMIF(TB_Saídas[Produto],A14,TB_Saídas[Quantidade Vendida])</f>
        <v>90</v>
      </c>
      <c r="E14" t="str">
        <v>Mini Pizza</v>
      </c>
      <c r="F14">
        <f>SUMIF(TB_Saídas[Produto],A14,TB_Saídas[Valor de Venda])</f>
        <v>450</v>
      </c>
    </row>
    <row r="15" spans="1:6" x14ac:dyDescent="0.3">
      <c r="A15" t="str">
        <v>Chantilly</v>
      </c>
      <c r="B15">
        <f>SUMIF(TB_Saídas[Produto],A15,TB_Saídas[Quantidade Vendida])</f>
        <v>0</v>
      </c>
      <c r="E15" t="str">
        <v>Chantilly</v>
      </c>
      <c r="F15">
        <f>SUMIF(TB_Saídas[Produto],A15,TB_Saídas[Valor de Venda])</f>
        <v>0</v>
      </c>
    </row>
    <row r="16" spans="1:6" x14ac:dyDescent="0.3">
      <c r="A16" t="str">
        <v>Pão de Queijo</v>
      </c>
      <c r="B16">
        <f>SUMIF(TB_Saídas[Produto],A16,TB_Saídas[Quantidade Vendida])</f>
        <v>400</v>
      </c>
      <c r="E16" t="str">
        <v>Pão de Queijo</v>
      </c>
      <c r="F16">
        <f>SUMIF(TB_Saídas[Produto],A16,TB_Saídas[Valor de Venda])</f>
        <v>3000</v>
      </c>
    </row>
    <row r="17" spans="1:6" x14ac:dyDescent="0.3">
      <c r="A17" t="str">
        <v>Suco de Laranja</v>
      </c>
      <c r="B17">
        <f>SUMIF(TB_Saídas[Produto],A17,TB_Saídas[Quantidade Vendida])</f>
        <v>100</v>
      </c>
      <c r="E17" t="str">
        <v>Suco de Laranja</v>
      </c>
      <c r="F17">
        <f>SUMIF(TB_Saídas[Produto],A17,TB_Saídas[Valor de Venda])</f>
        <v>1000</v>
      </c>
    </row>
    <row r="18" spans="1:6" x14ac:dyDescent="0.3">
      <c r="A18" t="str">
        <v>Hamburguer</v>
      </c>
      <c r="B18">
        <f>SUMIF(TB_Saídas[Produto],A18,TB_Saídas[Quantidade Vendida])</f>
        <v>50</v>
      </c>
      <c r="E18" t="str">
        <v>Hamburguer</v>
      </c>
      <c r="F18">
        <f>SUMIF(TB_Saídas[Produto],A18,TB_Saídas[Valor de Venda])</f>
        <v>750</v>
      </c>
    </row>
    <row r="19" spans="1:6" x14ac:dyDescent="0.3">
      <c r="A19" t="str">
        <v>Frango</v>
      </c>
      <c r="B19">
        <f>SUMIF(TB_Saídas[Produto],A19,TB_Saídas[Quantidade Vendida])</f>
        <v>30</v>
      </c>
      <c r="E19" t="str">
        <v>Frango</v>
      </c>
      <c r="F19">
        <f>SUMIF(TB_Saídas[Produto],A19,TB_Saídas[Valor de Venda])</f>
        <v>450</v>
      </c>
    </row>
    <row r="20" spans="1:6" x14ac:dyDescent="0.3">
      <c r="A20" t="str">
        <v xml:space="preserve">Água </v>
      </c>
      <c r="B20">
        <f>SUMIF(TB_Saídas[Produto],A20,TB_Saídas[Quantidade Vendida])</f>
        <v>0</v>
      </c>
      <c r="E20" t="str">
        <v xml:space="preserve">Água </v>
      </c>
      <c r="F20">
        <f>SUMIF(TB_Saídas[Produto],A20,TB_Saídas[Valor de Venda])</f>
        <v>0</v>
      </c>
    </row>
    <row r="21" spans="1:6" x14ac:dyDescent="0.3">
      <c r="A21" t="str">
        <v>Cerveja</v>
      </c>
      <c r="B21">
        <f>SUMIF(TB_Saídas[Produto],A21,TB_Saídas[Quantidade Vendida])</f>
        <v>25</v>
      </c>
      <c r="E21" t="str">
        <v>Cerveja</v>
      </c>
      <c r="F21">
        <f>SUMIF(TB_Saídas[Produto],A21,TB_Saídas[Valor de Venda])</f>
        <v>200</v>
      </c>
    </row>
    <row r="22" spans="1:6" x14ac:dyDescent="0.3">
      <c r="A22" t="str">
        <v>Queijo</v>
      </c>
      <c r="B22">
        <f>SUMIF(TB_Saídas[Produto],A22,TB_Saídas[Quantidade Vendida])</f>
        <v>0</v>
      </c>
      <c r="E22" t="str">
        <v>Queijo</v>
      </c>
      <c r="F22">
        <f>SUMIF(TB_Saídas[Produto],A22,TB_Saídas[Valor de Venda])</f>
        <v>0</v>
      </c>
    </row>
    <row r="23" spans="1:6" x14ac:dyDescent="0.3">
      <c r="A23" t="str">
        <v>Presunto</v>
      </c>
      <c r="B23">
        <f>SUMIF(TB_Saídas[Produto],A23,TB_Saídas[Quantidade Vendida])</f>
        <v>0</v>
      </c>
      <c r="E23" t="str">
        <v>Presunto</v>
      </c>
      <c r="F23">
        <f>SUMIF(TB_Saídas[Produto],A23,TB_Saídas[Valor de Venda])</f>
        <v>0</v>
      </c>
    </row>
    <row r="24" spans="1:6" x14ac:dyDescent="0.3">
      <c r="A24" t="str">
        <v>Mortadela</v>
      </c>
      <c r="B24">
        <f>SUMIF(TB_Saídas[Produto],A24,TB_Saídas[Quantidade Vendida])</f>
        <v>0</v>
      </c>
      <c r="E24" t="str">
        <v>Mortadela</v>
      </c>
      <c r="F24">
        <f>SUMIF(TB_Saídas[Produto],A24,TB_Saídas[Valor de Venda])</f>
        <v>0</v>
      </c>
    </row>
    <row r="25" spans="1:6" x14ac:dyDescent="0.3">
      <c r="A25" t="str">
        <v>Peito de Peru</v>
      </c>
      <c r="B25">
        <f>SUMIF(TB_Saídas[Produto],A25,TB_Saídas[Quantidade Vendida])</f>
        <v>0</v>
      </c>
      <c r="E25" t="str">
        <v>Peito de Peru</v>
      </c>
      <c r="F25">
        <f>SUMIF(TB_Saídas[Produto],A25,TB_Saídas[Valor de Venda])</f>
        <v>0</v>
      </c>
    </row>
    <row r="26" spans="1:6" x14ac:dyDescent="0.3">
      <c r="A26" t="str">
        <v>Refrigerante</v>
      </c>
      <c r="B26">
        <f>SUMIF(TB_Saídas[Produto],A26,TB_Saídas[Quantidade Vendida])</f>
        <v>210</v>
      </c>
      <c r="E26" t="str">
        <v>Refrigerante</v>
      </c>
      <c r="F26">
        <f>SUMIF(TB_Saídas[Produto],A26,TB_Saídas[Valor de Venda])</f>
        <v>1680</v>
      </c>
    </row>
    <row r="27" spans="1:6" x14ac:dyDescent="0.3">
      <c r="A27" t="str">
        <v>Enroladinho</v>
      </c>
      <c r="B27">
        <f>SUMIF(TB_Saídas[Produto],A27,TB_Saídas[Quantidade Vendida])</f>
        <v>0</v>
      </c>
      <c r="E27" t="str">
        <v>Enroladinho</v>
      </c>
      <c r="F27">
        <f>SUMIF(TB_Saídas[Produto],A27,TB_Saídas[Valor de Venda])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1CDA-1185-494F-8928-D96624B06DDE}">
  <dimension ref="A1:Q14"/>
  <sheetViews>
    <sheetView topLeftCell="J1" workbookViewId="0">
      <selection activeCell="P2" sqref="P2:Q3"/>
    </sheetView>
  </sheetViews>
  <sheetFormatPr defaultRowHeight="14.4" x14ac:dyDescent="0.3"/>
  <cols>
    <col min="1" max="1" width="7.33203125" style="2" bestFit="1" customWidth="1"/>
    <col min="2" max="2" width="15.88671875" style="2" bestFit="1" customWidth="1"/>
    <col min="3" max="3" width="11.5546875" style="2" bestFit="1" customWidth="1"/>
    <col min="4" max="4" width="12.6640625" style="2" bestFit="1" customWidth="1"/>
    <col min="5" max="5" width="4" style="2" customWidth="1"/>
    <col min="6" max="6" width="8.88671875" style="2"/>
    <col min="7" max="7" width="10.5546875" style="2" bestFit="1" customWidth="1"/>
    <col min="8" max="8" width="12.77734375" style="2" customWidth="1"/>
    <col min="9" max="9" width="12.5546875" style="2" customWidth="1"/>
    <col min="10" max="10" width="4.109375" style="2" customWidth="1"/>
    <col min="11" max="11" width="10.6640625" style="2" bestFit="1" customWidth="1"/>
    <col min="12" max="12" width="10.5546875" style="2" bestFit="1" customWidth="1"/>
    <col min="13" max="16384" width="8.88671875" style="2"/>
  </cols>
  <sheetData>
    <row r="1" spans="1:17" ht="15" thickBot="1" x14ac:dyDescent="0.35">
      <c r="A1" s="225" t="s">
        <v>105</v>
      </c>
      <c r="B1" s="226" t="s">
        <v>1</v>
      </c>
      <c r="C1" s="226" t="s">
        <v>106</v>
      </c>
      <c r="D1" s="227" t="s">
        <v>104</v>
      </c>
      <c r="F1" s="217" t="s">
        <v>109</v>
      </c>
      <c r="G1" s="218"/>
      <c r="H1" s="218"/>
      <c r="I1" s="219"/>
      <c r="K1" s="231" t="s">
        <v>1</v>
      </c>
      <c r="L1" s="217" t="s">
        <v>114</v>
      </c>
      <c r="M1" s="218"/>
      <c r="N1" s="219"/>
      <c r="P1" s="217" t="s">
        <v>127</v>
      </c>
      <c r="Q1" s="219"/>
    </row>
    <row r="2" spans="1:17" ht="15" thickBot="1" x14ac:dyDescent="0.35">
      <c r="A2" s="207">
        <v>1</v>
      </c>
      <c r="B2" s="208" t="str">
        <f>_xlfn.XLOOKUP(C2,'Top 5 Mais vendidos'!B:B,'Top 5 Mais vendidos'!A:A)</f>
        <v>Café</v>
      </c>
      <c r="C2" s="208">
        <f>LARGE('Top 5 Mais vendidos'!B:B,'Base de cálculo'!A2)</f>
        <v>945</v>
      </c>
      <c r="D2" s="209">
        <f>SUMIF(TB_Entradas[Produto],B2,TB_Entradas[Quantidade Comprada])</f>
        <v>1635</v>
      </c>
      <c r="F2" s="207" t="s">
        <v>110</v>
      </c>
      <c r="G2" s="208" t="s">
        <v>111</v>
      </c>
      <c r="H2" s="208" t="s">
        <v>108</v>
      </c>
      <c r="I2" s="209" t="s">
        <v>112</v>
      </c>
      <c r="K2" s="230" t="str">
        <f>Dashboard!AN30</f>
        <v>Café</v>
      </c>
      <c r="L2" s="220" t="s">
        <v>111</v>
      </c>
      <c r="M2" s="221" t="s">
        <v>73</v>
      </c>
      <c r="N2" s="222" t="s">
        <v>113</v>
      </c>
      <c r="P2" s="207" t="s">
        <v>73</v>
      </c>
      <c r="Q2" s="235">
        <f>SUM(M3:M14)</f>
        <v>1635</v>
      </c>
    </row>
    <row r="3" spans="1:17" ht="15" thickBot="1" x14ac:dyDescent="0.35">
      <c r="A3" s="207">
        <v>2</v>
      </c>
      <c r="B3" s="208" t="str">
        <f>_xlfn.XLOOKUP(C3,'Top 5 Mais vendidos'!B:B,'Top 5 Mais vendidos'!A:A)</f>
        <v>Chocolate Quente</v>
      </c>
      <c r="C3" s="208">
        <f>LARGE('Top 5 Mais vendidos'!B:B,'Base de cálculo'!A3)</f>
        <v>500</v>
      </c>
      <c r="D3" s="209">
        <f>SUMIF(TB_Entradas[Produto],B3,TB_Entradas[Quantidade Comprada])</f>
        <v>750</v>
      </c>
      <c r="F3" s="207">
        <v>1</v>
      </c>
      <c r="G3" s="210">
        <f>DATE(,F3,1)</f>
        <v>1</v>
      </c>
      <c r="H3" s="211">
        <f>SUMIF(TB_Saídas[Mês],F3,TB_Saídas[Valor de Venda])</f>
        <v>1475</v>
      </c>
      <c r="I3" s="212">
        <f>SUMIF(TB_Entradas[Mês],F3,TB_Entradas[Valor da Compra])</f>
        <v>297.5</v>
      </c>
      <c r="L3" s="232" t="s">
        <v>117</v>
      </c>
      <c r="M3" s="234">
        <f>SUMIFS(TB_Entradas[Quantidade Comprada],TB_Entradas[Produto],$K$2,TB_Entradas[Mês],$F3)</f>
        <v>100</v>
      </c>
      <c r="N3" s="235">
        <f>SUMIFS(TB_Saídas[Quantidade Vendida],TB_Saídas[Produto],$K$2,TB_Saídas[Mês],$F3)</f>
        <v>80</v>
      </c>
      <c r="P3" s="213" t="s">
        <v>113</v>
      </c>
      <c r="Q3" s="237">
        <f>SUM(N3:N14)</f>
        <v>945</v>
      </c>
    </row>
    <row r="4" spans="1:17" x14ac:dyDescent="0.3">
      <c r="A4" s="207">
        <v>3</v>
      </c>
      <c r="B4" s="208" t="str">
        <f>_xlfn.XLOOKUP(C4,'Top 5 Mais vendidos'!B:B,'Top 5 Mais vendidos'!A:A)</f>
        <v>Pão de Queijo</v>
      </c>
      <c r="C4" s="208">
        <f>LARGE('Top 5 Mais vendidos'!B:B,'Base de cálculo'!A4)</f>
        <v>400</v>
      </c>
      <c r="D4" s="209">
        <f>SUMIF(TB_Entradas[Produto],B4,TB_Entradas[Quantidade Comprada])</f>
        <v>620</v>
      </c>
      <c r="F4" s="207">
        <v>2</v>
      </c>
      <c r="G4" s="210">
        <f t="shared" ref="G4:G14" si="0">DATE(,F4,1)</f>
        <v>32</v>
      </c>
      <c r="H4" s="211">
        <f>SUMIF(TB_Saídas[Mês],F4,TB_Saídas[Valor de Venda])</f>
        <v>1652.5</v>
      </c>
      <c r="I4" s="212">
        <f>SUMIF(TB_Entradas[Mês],F4,TB_Entradas[Valor da Compra])</f>
        <v>378.75</v>
      </c>
      <c r="L4" s="232" t="s">
        <v>115</v>
      </c>
      <c r="M4" s="234">
        <f>SUMIFS(TB_Entradas[Quantidade Comprada],TB_Entradas[Produto],$K$2,TB_Entradas[Mês],$F4)</f>
        <v>125</v>
      </c>
      <c r="N4" s="235">
        <f>SUMIFS(TB_Saídas[Quantidade Vendida],TB_Saídas[Produto],$K$2,TB_Saídas[Mês],$F4)</f>
        <v>110</v>
      </c>
    </row>
    <row r="5" spans="1:17" x14ac:dyDescent="0.3">
      <c r="A5" s="207">
        <v>4</v>
      </c>
      <c r="B5" s="208" t="str">
        <f>_xlfn.XLOOKUP(C5,'Top 5 Mais vendidos'!B:B,'Top 5 Mais vendidos'!A:A)</f>
        <v>Coxinha</v>
      </c>
      <c r="C5" s="208">
        <f>LARGE('Top 5 Mais vendidos'!B:B,'Base de cálculo'!A5)</f>
        <v>245</v>
      </c>
      <c r="D5" s="209">
        <f>SUMIF(TB_Entradas[Produto],B5,TB_Entradas[Quantidade Comprada])</f>
        <v>550</v>
      </c>
      <c r="F5" s="207">
        <v>3</v>
      </c>
      <c r="G5" s="210">
        <f t="shared" si="0"/>
        <v>61</v>
      </c>
      <c r="H5" s="211">
        <f>SUMIF(TB_Saídas[Mês],F5,TB_Saídas[Valor de Venda])</f>
        <v>2302.5</v>
      </c>
      <c r="I5" s="212">
        <f>SUMIF(TB_Entradas[Mês],F5,TB_Entradas[Valor da Compra])</f>
        <v>922.5</v>
      </c>
      <c r="L5" s="232" t="s">
        <v>116</v>
      </c>
      <c r="M5" s="234">
        <f>SUMIFS(TB_Entradas[Quantidade Comprada],TB_Entradas[Produto],$K$2,TB_Entradas[Mês],$F5)</f>
        <v>150</v>
      </c>
      <c r="N5" s="235">
        <f>SUMIFS(TB_Saídas[Quantidade Vendida],TB_Saídas[Produto],$K$2,TB_Saídas[Mês],$F5)</f>
        <v>100</v>
      </c>
    </row>
    <row r="6" spans="1:17" ht="15" thickBot="1" x14ac:dyDescent="0.35">
      <c r="A6" s="213">
        <v>5</v>
      </c>
      <c r="B6" s="223" t="str">
        <f>_xlfn.XLOOKUP(C6,'Top 5 Mais vendidos'!B:B,'Top 5 Mais vendidos'!A:A)</f>
        <v>Refrigerante</v>
      </c>
      <c r="C6" s="223">
        <f>LARGE('Top 5 Mais vendidos'!B:B,'Base de cálculo'!A6)</f>
        <v>210</v>
      </c>
      <c r="D6" s="224">
        <f>SUMIF(TB_Entradas[Produto],B6,TB_Entradas[Quantidade Comprada])</f>
        <v>350</v>
      </c>
      <c r="F6" s="207">
        <v>4</v>
      </c>
      <c r="G6" s="210">
        <f t="shared" si="0"/>
        <v>92</v>
      </c>
      <c r="H6" s="211">
        <f>SUMIF(TB_Saídas[Mês],F6,TB_Saídas[Valor de Venda])</f>
        <v>1507.5</v>
      </c>
      <c r="I6" s="212">
        <f>SUMIF(TB_Entradas[Mês],F6,TB_Entradas[Valor da Compra])</f>
        <v>362.5</v>
      </c>
      <c r="L6" s="232" t="s">
        <v>118</v>
      </c>
      <c r="M6" s="234">
        <f>SUMIFS(TB_Entradas[Quantidade Comprada],TB_Entradas[Produto],$K$2,TB_Entradas[Mês],$F6)</f>
        <v>150</v>
      </c>
      <c r="N6" s="235">
        <f>SUMIFS(TB_Saídas[Quantidade Vendida],TB_Saídas[Produto],$K$2,TB_Saídas[Mês],$F6)</f>
        <v>75</v>
      </c>
    </row>
    <row r="7" spans="1:17" ht="15" thickBot="1" x14ac:dyDescent="0.35">
      <c r="F7" s="207">
        <v>5</v>
      </c>
      <c r="G7" s="210">
        <f t="shared" si="0"/>
        <v>122</v>
      </c>
      <c r="H7" s="211">
        <f>SUMIF(TB_Saídas[Mês],F7,TB_Saídas[Valor de Venda])</f>
        <v>1372</v>
      </c>
      <c r="I7" s="212">
        <f>SUMIF(TB_Entradas[Mês],F7,TB_Entradas[Valor da Compra])</f>
        <v>723.75</v>
      </c>
      <c r="L7" s="232" t="s">
        <v>119</v>
      </c>
      <c r="M7" s="234">
        <f>SUMIFS(TB_Entradas[Quantidade Comprada],TB_Entradas[Produto],$K$2,TB_Entradas[Mês],$F7)</f>
        <v>100</v>
      </c>
      <c r="N7" s="235">
        <f>SUMIFS(TB_Saídas[Quantidade Vendida],TB_Saídas[Produto],$K$2,TB_Saídas[Mês],$F7)</f>
        <v>75</v>
      </c>
    </row>
    <row r="8" spans="1:17" ht="15" thickBot="1" x14ac:dyDescent="0.35">
      <c r="A8" s="225" t="s">
        <v>107</v>
      </c>
      <c r="B8" s="226" t="s">
        <v>1</v>
      </c>
      <c r="C8" s="227" t="s">
        <v>108</v>
      </c>
      <c r="F8" s="207">
        <v>6</v>
      </c>
      <c r="G8" s="210">
        <f t="shared" si="0"/>
        <v>153</v>
      </c>
      <c r="H8" s="211">
        <f>SUMIF(TB_Saídas[Mês],F8,TB_Saídas[Valor de Venda])</f>
        <v>1145</v>
      </c>
      <c r="I8" s="212">
        <f>SUMIF(TB_Entradas[Mês],F8,TB_Entradas[Valor da Compra])</f>
        <v>376.25</v>
      </c>
      <c r="L8" s="232" t="s">
        <v>120</v>
      </c>
      <c r="M8" s="234">
        <f>SUMIFS(TB_Entradas[Quantidade Comprada],TB_Entradas[Produto],$K$2,TB_Entradas[Mês],$F8)</f>
        <v>150</v>
      </c>
      <c r="N8" s="235">
        <f>SUMIFS(TB_Saídas[Quantidade Vendida],TB_Saídas[Produto],$K$2,TB_Saídas[Mês],$F8)</f>
        <v>100</v>
      </c>
    </row>
    <row r="9" spans="1:17" x14ac:dyDescent="0.3">
      <c r="A9" s="207">
        <v>1</v>
      </c>
      <c r="B9" s="208" t="str">
        <f>_xlfn.XLOOKUP(C9,'Top 5 Mais vendidos'!F:F,'Top 5 Mais vendidos'!E:E)</f>
        <v>Café</v>
      </c>
      <c r="C9" s="209">
        <f>LARGE('Top 5 Mais vendidos'!F:F,'Base de cálculo'!A9)</f>
        <v>5670</v>
      </c>
      <c r="F9" s="207">
        <v>7</v>
      </c>
      <c r="G9" s="210">
        <f t="shared" si="0"/>
        <v>183</v>
      </c>
      <c r="H9" s="211">
        <f>SUMIF(TB_Saídas[Mês],F9,TB_Saídas[Valor de Venda])</f>
        <v>2217.5</v>
      </c>
      <c r="I9" s="212">
        <f>SUMIF(TB_Entradas[Mês],F9,TB_Entradas[Valor da Compra])</f>
        <v>355</v>
      </c>
      <c r="L9" s="232" t="s">
        <v>121</v>
      </c>
      <c r="M9" s="234">
        <f>SUMIFS(TB_Entradas[Quantidade Comprada],TB_Entradas[Produto],$K$2,TB_Entradas[Mês],$F9)</f>
        <v>150</v>
      </c>
      <c r="N9" s="235">
        <f>SUMIFS(TB_Saídas[Quantidade Vendida],TB_Saídas[Produto],$K$2,TB_Saídas[Mês],$F9)</f>
        <v>90</v>
      </c>
    </row>
    <row r="10" spans="1:17" x14ac:dyDescent="0.3">
      <c r="A10" s="207">
        <v>2</v>
      </c>
      <c r="B10" s="208" t="str">
        <f>_xlfn.XLOOKUP(C10,'Top 5 Mais vendidos'!F:F,'Top 5 Mais vendidos'!E:E)</f>
        <v>Chocolate Quente</v>
      </c>
      <c r="C10" s="209">
        <f>LARGE('Top 5 Mais vendidos'!F:F,'Base de cálculo'!A10)</f>
        <v>4250</v>
      </c>
      <c r="F10" s="207">
        <v>8</v>
      </c>
      <c r="G10" s="210">
        <f t="shared" si="0"/>
        <v>214</v>
      </c>
      <c r="H10" s="211">
        <f>SUMIF(TB_Saídas[Mês],F10,TB_Saídas[Valor de Venda])</f>
        <v>1621.5</v>
      </c>
      <c r="I10" s="212">
        <f>SUMIF(TB_Entradas[Mês],F10,TB_Entradas[Valor da Compra])</f>
        <v>431.25</v>
      </c>
      <c r="L10" s="232" t="s">
        <v>122</v>
      </c>
      <c r="M10" s="234">
        <f>SUMIFS(TB_Entradas[Quantidade Comprada],TB_Entradas[Produto],$K$2,TB_Entradas[Mês],$F10)</f>
        <v>150</v>
      </c>
      <c r="N10" s="235">
        <f>SUMIFS(TB_Saídas[Quantidade Vendida],TB_Saídas[Produto],$K$2,TB_Saídas[Mês],$F10)</f>
        <v>100</v>
      </c>
    </row>
    <row r="11" spans="1:17" x14ac:dyDescent="0.3">
      <c r="A11" s="207">
        <v>3</v>
      </c>
      <c r="B11" s="208" t="str">
        <f>_xlfn.XLOOKUP(C11,'Top 5 Mais vendidos'!F:F,'Top 5 Mais vendidos'!E:E)</f>
        <v>Pão de Queijo</v>
      </c>
      <c r="C11" s="209">
        <f>LARGE('Top 5 Mais vendidos'!F:F,'Base de cálculo'!A11)</f>
        <v>3000</v>
      </c>
      <c r="F11" s="207">
        <v>9</v>
      </c>
      <c r="G11" s="210">
        <f t="shared" si="0"/>
        <v>245</v>
      </c>
      <c r="H11" s="211">
        <f>SUMIF(TB_Saídas[Mês],F11,TB_Saídas[Valor de Venda])</f>
        <v>2234</v>
      </c>
      <c r="I11" s="212">
        <f>SUMIF(TB_Entradas[Mês],F11,TB_Entradas[Valor da Compra])</f>
        <v>806</v>
      </c>
      <c r="L11" s="232" t="s">
        <v>123</v>
      </c>
      <c r="M11" s="234">
        <f>SUMIFS(TB_Entradas[Quantidade Comprada],TB_Entradas[Produto],$K$2,TB_Entradas[Mês],$F11)</f>
        <v>180</v>
      </c>
      <c r="N11" s="235">
        <f>SUMIFS(TB_Saídas[Quantidade Vendida],TB_Saídas[Produto],$K$2,TB_Saídas[Mês],$F11)</f>
        <v>35</v>
      </c>
    </row>
    <row r="12" spans="1:17" x14ac:dyDescent="0.3">
      <c r="A12" s="207">
        <v>4</v>
      </c>
      <c r="B12" s="208" t="str">
        <f>_xlfn.XLOOKUP(C12,'Top 5 Mais vendidos'!F:F,'Top 5 Mais vendidos'!E:E)</f>
        <v>Refrigerante</v>
      </c>
      <c r="C12" s="209">
        <f>LARGE('Top 5 Mais vendidos'!F:F,'Base de cálculo'!A12)</f>
        <v>1680</v>
      </c>
      <c r="F12" s="207">
        <v>10</v>
      </c>
      <c r="G12" s="210">
        <f t="shared" si="0"/>
        <v>275</v>
      </c>
      <c r="H12" s="211">
        <f>SUMIF(TB_Saídas[Mês],F12,TB_Saídas[Valor de Venda])</f>
        <v>1508</v>
      </c>
      <c r="I12" s="212">
        <f>SUMIF(TB_Entradas[Mês],F12,TB_Entradas[Valor da Compra])</f>
        <v>247.75</v>
      </c>
      <c r="L12" s="232" t="s">
        <v>124</v>
      </c>
      <c r="M12" s="234">
        <f>SUMIFS(TB_Entradas[Quantidade Comprada],TB_Entradas[Produto],$K$2,TB_Entradas[Mês],$F12)</f>
        <v>100</v>
      </c>
      <c r="N12" s="235">
        <f>SUMIFS(TB_Saídas[Quantidade Vendida],TB_Saídas[Produto],$K$2,TB_Saídas[Mês],$F12)</f>
        <v>30</v>
      </c>
    </row>
    <row r="13" spans="1:17" ht="15" thickBot="1" x14ac:dyDescent="0.35">
      <c r="A13" s="213">
        <v>5</v>
      </c>
      <c r="B13" s="223" t="str">
        <f>_xlfn.XLOOKUP(C13,'Top 5 Mais vendidos'!F:F,'Top 5 Mais vendidos'!E:E)</f>
        <v>Coxinha</v>
      </c>
      <c r="C13" s="224">
        <f>LARGE('Top 5 Mais vendidos'!F:F,'Base de cálculo'!A13)</f>
        <v>1592.5</v>
      </c>
      <c r="F13" s="207">
        <v>11</v>
      </c>
      <c r="G13" s="210">
        <f t="shared" si="0"/>
        <v>306</v>
      </c>
      <c r="H13" s="211">
        <f>SUMIF(TB_Saídas[Mês],F13,TB_Saídas[Valor de Venda])</f>
        <v>811.5</v>
      </c>
      <c r="I13" s="212">
        <f>SUMIF(TB_Entradas[Mês],F13,TB_Entradas[Valor da Compra])</f>
        <v>218.75</v>
      </c>
      <c r="L13" s="232" t="s">
        <v>125</v>
      </c>
      <c r="M13" s="234">
        <f>SUMIFS(TB_Entradas[Quantidade Comprada],TB_Entradas[Produto],$K$2,TB_Entradas[Mês],$F13)</f>
        <v>80</v>
      </c>
      <c r="N13" s="235">
        <f>SUMIFS(TB_Saídas[Quantidade Vendida],TB_Saídas[Produto],$K$2,TB_Saídas[Mês],$F13)</f>
        <v>50</v>
      </c>
    </row>
    <row r="14" spans="1:17" ht="15" thickBot="1" x14ac:dyDescent="0.35">
      <c r="F14" s="213">
        <v>12</v>
      </c>
      <c r="G14" s="214">
        <f t="shared" si="0"/>
        <v>336</v>
      </c>
      <c r="H14" s="215">
        <f>SUMIF(TB_Saídas[Mês],F14,TB_Saídas[Valor de Venda])</f>
        <v>1195.5</v>
      </c>
      <c r="I14" s="216">
        <f>SUMIF(TB_Entradas[Mês],F14,TB_Entradas[Valor da Compra])</f>
        <v>410</v>
      </c>
      <c r="L14" s="233" t="s">
        <v>126</v>
      </c>
      <c r="M14" s="236">
        <f>SUMIFS(TB_Entradas[Quantidade Comprada],TB_Entradas[Produto],$K$2,TB_Entradas[Mês],$F14)</f>
        <v>200</v>
      </c>
      <c r="N14" s="237">
        <f>SUMIFS(TB_Saídas[Quantidade Vendida],TB_Saídas[Produto],$K$2,TB_Saídas[Mês],$F14)</f>
        <v>100</v>
      </c>
    </row>
  </sheetData>
  <mergeCells count="3">
    <mergeCell ref="F1:I1"/>
    <mergeCell ref="L1:N1"/>
    <mergeCell ref="P1:Q1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0E9D-A9B9-46A6-9BD4-5E3AB63DF7EA}">
  <dimension ref="B1:DV48"/>
  <sheetViews>
    <sheetView showGridLines="0" tabSelected="1" zoomScale="90" zoomScaleNormal="90" workbookViewId="0">
      <selection activeCell="AB7" sqref="AB7"/>
    </sheetView>
  </sheetViews>
  <sheetFormatPr defaultColWidth="2.109375" defaultRowHeight="9" customHeight="1" x14ac:dyDescent="0.3"/>
  <cols>
    <col min="1" max="1" width="2.109375" customWidth="1"/>
    <col min="16" max="16" width="2.109375" customWidth="1"/>
  </cols>
  <sheetData>
    <row r="1" spans="2:99" ht="9" customHeight="1" thickBot="1" x14ac:dyDescent="0.35">
      <c r="B1" s="129" t="s">
        <v>90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58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2:99" ht="9" customHeight="1" x14ac:dyDescent="0.3"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58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F2" s="130" t="s">
        <v>91</v>
      </c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2"/>
      <c r="AU2" s="17"/>
      <c r="AX2" s="130" t="s">
        <v>92</v>
      </c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2"/>
      <c r="BM2" s="17"/>
      <c r="BP2" s="130" t="s">
        <v>93</v>
      </c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2"/>
    </row>
    <row r="3" spans="2:99" ht="9" customHeight="1" thickBot="1" x14ac:dyDescent="0.35"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58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F3" s="133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5"/>
      <c r="AU3" s="17"/>
      <c r="AX3" s="133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5"/>
      <c r="BM3" s="17"/>
      <c r="BP3" s="133"/>
      <c r="BQ3" s="134"/>
      <c r="BR3" s="134"/>
      <c r="BS3" s="134"/>
      <c r="BT3" s="134"/>
      <c r="BU3" s="134"/>
      <c r="BV3" s="134"/>
      <c r="BW3" s="134"/>
      <c r="BX3" s="134"/>
      <c r="BY3" s="134"/>
      <c r="BZ3" s="134"/>
      <c r="CA3" s="134"/>
      <c r="CB3" s="134"/>
      <c r="CC3" s="134"/>
      <c r="CD3" s="135"/>
    </row>
    <row r="4" spans="2:99" ht="9" customHeight="1" x14ac:dyDescent="0.3"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58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F4" s="136">
        <f>SUM(TB_Saídas[Valor de Venda])</f>
        <v>19042.5</v>
      </c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8"/>
      <c r="AU4" s="16"/>
      <c r="AX4" s="136">
        <f>SUM(TB_Entradas[Valor da Compra])</f>
        <v>5530</v>
      </c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8"/>
      <c r="BM4" s="21"/>
      <c r="BN4" s="22"/>
      <c r="BO4" s="22"/>
      <c r="BP4" s="142">
        <f>(AF4-AX4)/AX4</f>
        <v>2.4434900542495481</v>
      </c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4"/>
    </row>
    <row r="5" spans="2:99" ht="9" customHeight="1" x14ac:dyDescent="0.3"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58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F5" s="136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8"/>
      <c r="AU5" s="16"/>
      <c r="AX5" s="136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8"/>
      <c r="BM5" s="21"/>
      <c r="BN5" s="22"/>
      <c r="BO5" s="22"/>
      <c r="BP5" s="142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4"/>
    </row>
    <row r="6" spans="2:99" ht="9" customHeigh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F6" s="136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8"/>
      <c r="AU6" s="16"/>
      <c r="AX6" s="136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8"/>
      <c r="BM6" s="21"/>
      <c r="BN6" s="22"/>
      <c r="BO6" s="22"/>
      <c r="BP6" s="142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  <c r="CB6" s="143"/>
      <c r="CC6" s="143"/>
      <c r="CD6" s="144"/>
    </row>
    <row r="7" spans="2:99" ht="9" customHeight="1" thickBot="1" x14ac:dyDescent="0.35">
      <c r="B7" s="27"/>
      <c r="Z7" s="27"/>
      <c r="AF7" s="139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1"/>
      <c r="AU7" s="16"/>
      <c r="AX7" s="139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1"/>
      <c r="BM7" s="21"/>
      <c r="BN7" s="22"/>
      <c r="BO7" s="22"/>
      <c r="BP7" s="145"/>
      <c r="BQ7" s="146"/>
      <c r="BR7" s="146"/>
      <c r="BS7" s="146"/>
      <c r="BT7" s="146"/>
      <c r="BU7" s="146"/>
      <c r="BV7" s="146"/>
      <c r="BW7" s="146"/>
      <c r="BX7" s="146"/>
      <c r="BY7" s="146"/>
      <c r="BZ7" s="146"/>
      <c r="CA7" s="146"/>
      <c r="CB7" s="146"/>
      <c r="CC7" s="146"/>
      <c r="CD7" s="147"/>
      <c r="CE7" s="15"/>
      <c r="CF7" s="1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</row>
    <row r="8" spans="2:99" ht="9" customHeight="1" thickBot="1" x14ac:dyDescent="0.35">
      <c r="B8" s="27"/>
      <c r="C8" s="148" t="s">
        <v>94</v>
      </c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50"/>
      <c r="Z8" s="27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X8" s="26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5"/>
      <c r="CF8" s="15"/>
      <c r="CG8" s="25"/>
      <c r="CT8" s="25"/>
      <c r="CU8" s="25"/>
    </row>
    <row r="9" spans="2:99" ht="9" customHeight="1" thickBot="1" x14ac:dyDescent="0.35">
      <c r="B9" s="23"/>
      <c r="C9" s="151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3"/>
      <c r="Z9" s="23"/>
      <c r="AB9" s="148" t="s">
        <v>95</v>
      </c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50"/>
      <c r="CG9" s="14"/>
    </row>
    <row r="10" spans="2:99" ht="9" customHeight="1" thickBot="1" x14ac:dyDescent="0.35">
      <c r="B10" s="23"/>
      <c r="C10" s="154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6"/>
      <c r="Z10" s="23"/>
      <c r="AB10" s="151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3"/>
    </row>
    <row r="11" spans="2:99" ht="9" customHeight="1" x14ac:dyDescent="0.3">
      <c r="B11" s="23"/>
      <c r="C11" s="154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6"/>
      <c r="Z11" s="23"/>
      <c r="AB11" s="173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  <c r="BO11" s="174"/>
      <c r="BP11" s="174"/>
      <c r="BQ11" s="174"/>
      <c r="BR11" s="174"/>
      <c r="BS11" s="174"/>
      <c r="BT11" s="174"/>
      <c r="BU11" s="174"/>
      <c r="BV11" s="174"/>
      <c r="BW11" s="174"/>
      <c r="BX11" s="174"/>
      <c r="BY11" s="174"/>
      <c r="BZ11" s="174"/>
      <c r="CA11" s="174"/>
      <c r="CB11" s="174"/>
      <c r="CC11" s="174"/>
      <c r="CD11" s="174"/>
      <c r="CE11" s="174"/>
      <c r="CF11" s="175"/>
    </row>
    <row r="12" spans="2:99" ht="9" customHeight="1" x14ac:dyDescent="0.3">
      <c r="B12" s="23"/>
      <c r="C12" s="154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6"/>
      <c r="Z12" s="23"/>
      <c r="AB12" s="154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6"/>
    </row>
    <row r="13" spans="2:99" ht="9" customHeight="1" x14ac:dyDescent="0.3">
      <c r="B13" s="23"/>
      <c r="C13" s="154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6"/>
      <c r="Z13" s="23"/>
      <c r="AA13" s="15"/>
      <c r="AB13" s="154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6"/>
    </row>
    <row r="14" spans="2:99" ht="9" customHeight="1" x14ac:dyDescent="0.3">
      <c r="C14" s="154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6"/>
      <c r="Z14" s="15"/>
      <c r="AB14" s="154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6"/>
    </row>
    <row r="15" spans="2:99" ht="9" customHeight="1" x14ac:dyDescent="0.3">
      <c r="C15" s="154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6"/>
      <c r="Z15" s="15"/>
      <c r="AB15" s="154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6"/>
    </row>
    <row r="16" spans="2:99" ht="9" customHeight="1" x14ac:dyDescent="0.3">
      <c r="C16" s="154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6"/>
      <c r="Z16" s="15"/>
      <c r="AB16" s="154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6"/>
    </row>
    <row r="17" spans="2:84" ht="9" customHeight="1" x14ac:dyDescent="0.3">
      <c r="C17" s="154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6"/>
      <c r="Z17" s="15"/>
      <c r="AB17" s="154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6"/>
    </row>
    <row r="18" spans="2:84" ht="9" customHeight="1" x14ac:dyDescent="0.3">
      <c r="C18" s="154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6"/>
      <c r="Z18" s="15"/>
      <c r="AB18" s="154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6"/>
    </row>
    <row r="19" spans="2:84" ht="9" customHeight="1" x14ac:dyDescent="0.3">
      <c r="C19" s="154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6"/>
      <c r="AB19" s="154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6"/>
    </row>
    <row r="20" spans="2:84" ht="9" customHeight="1" x14ac:dyDescent="0.3">
      <c r="C20" s="154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6"/>
      <c r="AB20" s="154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6"/>
    </row>
    <row r="21" spans="2:84" ht="9" customHeight="1" x14ac:dyDescent="0.3">
      <c r="C21" s="154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6"/>
      <c r="Z21" s="15"/>
      <c r="AB21" s="154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6"/>
    </row>
    <row r="22" spans="2:84" ht="9" customHeight="1" x14ac:dyDescent="0.3">
      <c r="C22" s="154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6"/>
      <c r="Z22" s="15"/>
      <c r="AB22" s="154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6"/>
    </row>
    <row r="23" spans="2:84" ht="9" customHeight="1" x14ac:dyDescent="0.3">
      <c r="C23" s="154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6"/>
      <c r="Z23" s="15"/>
      <c r="AB23" s="154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6"/>
    </row>
    <row r="24" spans="2:84" ht="9" customHeight="1" x14ac:dyDescent="0.3">
      <c r="C24" s="154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6"/>
      <c r="Z24" s="15"/>
      <c r="AB24" s="154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6"/>
    </row>
    <row r="25" spans="2:84" ht="9" customHeight="1" thickBot="1" x14ac:dyDescent="0.35"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6"/>
      <c r="Z25" s="15"/>
      <c r="AA25" s="28"/>
      <c r="AB25" s="157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58"/>
      <c r="BY25" s="158"/>
      <c r="BZ25" s="158"/>
      <c r="CA25" s="158"/>
      <c r="CB25" s="158"/>
      <c r="CC25" s="158"/>
      <c r="CD25" s="158"/>
      <c r="CE25" s="158"/>
      <c r="CF25" s="159"/>
    </row>
    <row r="26" spans="2:84" ht="9" customHeight="1" x14ac:dyDescent="0.3"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  <c r="Z26" s="15"/>
    </row>
    <row r="27" spans="2:84" ht="9" customHeight="1" thickBot="1" x14ac:dyDescent="0.35">
      <c r="B27" s="18"/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9"/>
      <c r="Z27" s="15"/>
    </row>
    <row r="28" spans="2:84" ht="9" customHeight="1" thickBot="1" x14ac:dyDescent="0.35">
      <c r="Z28" s="15"/>
      <c r="AB28" s="148" t="s">
        <v>96</v>
      </c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50"/>
      <c r="BO28" s="85"/>
      <c r="BP28" s="148" t="s">
        <v>97</v>
      </c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50"/>
    </row>
    <row r="29" spans="2:84" ht="9" customHeight="1" thickBot="1" x14ac:dyDescent="0.35">
      <c r="C29" s="148" t="s">
        <v>98</v>
      </c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50"/>
      <c r="AB29" s="151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3"/>
      <c r="BO29" s="85"/>
      <c r="BP29" s="151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3"/>
    </row>
    <row r="30" spans="2:84" ht="9" customHeight="1" thickBot="1" x14ac:dyDescent="0.35">
      <c r="B30" s="20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3"/>
      <c r="AB30" s="31"/>
      <c r="AN30" s="160" t="s">
        <v>6</v>
      </c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N30" s="32"/>
      <c r="BP30" s="173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5"/>
    </row>
    <row r="31" spans="2:84" ht="9" customHeight="1" x14ac:dyDescent="0.3">
      <c r="C31" s="161" t="s">
        <v>99</v>
      </c>
      <c r="D31" s="162"/>
      <c r="E31" s="162"/>
      <c r="F31" s="162"/>
      <c r="G31" s="167" t="str">
        <f>'Base de cálculo'!B9</f>
        <v>Café</v>
      </c>
      <c r="H31" s="168"/>
      <c r="I31" s="168"/>
      <c r="J31" s="168"/>
      <c r="K31" s="168"/>
      <c r="L31" s="168"/>
      <c r="M31" s="168"/>
      <c r="N31" s="168"/>
      <c r="O31" s="168"/>
      <c r="P31" s="169"/>
      <c r="Q31" s="176">
        <f>'Base de cálculo'!C9</f>
        <v>5670</v>
      </c>
      <c r="R31" s="177"/>
      <c r="S31" s="177"/>
      <c r="T31" s="177"/>
      <c r="U31" s="177"/>
      <c r="V31" s="177"/>
      <c r="W31" s="177"/>
      <c r="X31" s="177"/>
      <c r="Y31" s="178"/>
      <c r="AB31" s="31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N31" s="32"/>
      <c r="BP31" s="154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156"/>
    </row>
    <row r="32" spans="2:84" ht="9" customHeight="1" x14ac:dyDescent="0.3">
      <c r="C32" s="163"/>
      <c r="D32" s="164"/>
      <c r="E32" s="164"/>
      <c r="F32" s="164"/>
      <c r="G32" s="170"/>
      <c r="H32" s="171"/>
      <c r="I32" s="171"/>
      <c r="J32" s="171"/>
      <c r="K32" s="171"/>
      <c r="L32" s="171"/>
      <c r="M32" s="171"/>
      <c r="N32" s="171"/>
      <c r="O32" s="171"/>
      <c r="P32" s="172"/>
      <c r="Q32" s="179"/>
      <c r="R32" s="180"/>
      <c r="S32" s="180"/>
      <c r="T32" s="180"/>
      <c r="U32" s="180"/>
      <c r="V32" s="180"/>
      <c r="W32" s="180"/>
      <c r="X32" s="180"/>
      <c r="Y32" s="181"/>
      <c r="AB32" s="154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6"/>
      <c r="BP32" s="154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156"/>
    </row>
    <row r="33" spans="2:126" ht="9" customHeight="1" thickBot="1" x14ac:dyDescent="0.35">
      <c r="C33" s="165"/>
      <c r="D33" s="166"/>
      <c r="E33" s="166"/>
      <c r="F33" s="166"/>
      <c r="G33" s="170"/>
      <c r="H33" s="171"/>
      <c r="I33" s="171"/>
      <c r="J33" s="171"/>
      <c r="K33" s="171"/>
      <c r="L33" s="171"/>
      <c r="M33" s="171"/>
      <c r="N33" s="171"/>
      <c r="O33" s="171"/>
      <c r="P33" s="172"/>
      <c r="Q33" s="182"/>
      <c r="R33" s="183"/>
      <c r="S33" s="183"/>
      <c r="T33" s="183"/>
      <c r="U33" s="183"/>
      <c r="V33" s="183"/>
      <c r="W33" s="183"/>
      <c r="X33" s="183"/>
      <c r="Y33" s="184"/>
      <c r="AB33" s="154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6"/>
      <c r="BP33" s="154"/>
      <c r="BQ33" s="229"/>
      <c r="BR33" s="229"/>
      <c r="BS33" s="229"/>
      <c r="BT33" s="229"/>
      <c r="BU33" s="229"/>
      <c r="BV33" s="229"/>
      <c r="BW33" s="229"/>
      <c r="BX33" s="229"/>
      <c r="BY33" s="229"/>
      <c r="BZ33" s="229"/>
      <c r="CA33" s="229"/>
      <c r="CB33" s="229"/>
      <c r="CC33" s="229"/>
      <c r="CD33" s="229"/>
      <c r="CE33" s="229"/>
      <c r="CF33" s="156"/>
    </row>
    <row r="34" spans="2:126" ht="9" customHeight="1" thickTop="1" x14ac:dyDescent="0.3">
      <c r="C34" s="188" t="s">
        <v>100</v>
      </c>
      <c r="D34" s="189"/>
      <c r="E34" s="189"/>
      <c r="F34" s="189"/>
      <c r="G34" s="192" t="str">
        <f>'Base de cálculo'!B10</f>
        <v>Chocolate Quente</v>
      </c>
      <c r="H34" s="193"/>
      <c r="I34" s="193"/>
      <c r="J34" s="193"/>
      <c r="K34" s="193"/>
      <c r="L34" s="193"/>
      <c r="M34" s="193"/>
      <c r="N34" s="193"/>
      <c r="O34" s="193"/>
      <c r="P34" s="194"/>
      <c r="Q34" s="198">
        <f>'Base de cálculo'!C10</f>
        <v>4250</v>
      </c>
      <c r="R34" s="199"/>
      <c r="S34" s="199"/>
      <c r="T34" s="199"/>
      <c r="U34" s="199"/>
      <c r="V34" s="199"/>
      <c r="W34" s="199"/>
      <c r="X34" s="199"/>
      <c r="Y34" s="200"/>
      <c r="Z34" s="18"/>
      <c r="AB34" s="154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6"/>
      <c r="BP34" s="154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156"/>
    </row>
    <row r="35" spans="2:126" ht="9" customHeight="1" x14ac:dyDescent="0.3">
      <c r="B35" s="18"/>
      <c r="C35" s="163"/>
      <c r="D35" s="164"/>
      <c r="E35" s="164"/>
      <c r="F35" s="164"/>
      <c r="G35" s="170"/>
      <c r="H35" s="171"/>
      <c r="I35" s="171"/>
      <c r="J35" s="171"/>
      <c r="K35" s="171"/>
      <c r="L35" s="171"/>
      <c r="M35" s="171"/>
      <c r="N35" s="171"/>
      <c r="O35" s="171"/>
      <c r="P35" s="172"/>
      <c r="Q35" s="179"/>
      <c r="R35" s="180"/>
      <c r="S35" s="180"/>
      <c r="T35" s="180"/>
      <c r="U35" s="180"/>
      <c r="V35" s="180"/>
      <c r="W35" s="180"/>
      <c r="X35" s="180"/>
      <c r="Y35" s="181"/>
      <c r="Z35" s="19"/>
      <c r="AA35" s="19"/>
      <c r="AB35" s="154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6"/>
      <c r="BP35" s="154"/>
      <c r="BQ35" s="229"/>
      <c r="BR35" s="229"/>
      <c r="BS35" s="229"/>
      <c r="BT35" s="229"/>
      <c r="BU35" s="229"/>
      <c r="BV35" s="229"/>
      <c r="BW35" s="229"/>
      <c r="BX35" s="229"/>
      <c r="BY35" s="229"/>
      <c r="BZ35" s="229"/>
      <c r="CA35" s="229"/>
      <c r="CB35" s="229"/>
      <c r="CC35" s="229"/>
      <c r="CD35" s="229"/>
      <c r="CE35" s="229"/>
      <c r="CF35" s="156"/>
    </row>
    <row r="36" spans="2:126" ht="9" customHeight="1" thickBot="1" x14ac:dyDescent="0.35">
      <c r="C36" s="165"/>
      <c r="D36" s="166"/>
      <c r="E36" s="166"/>
      <c r="F36" s="166"/>
      <c r="G36" s="204"/>
      <c r="H36" s="205"/>
      <c r="I36" s="205"/>
      <c r="J36" s="205"/>
      <c r="K36" s="205"/>
      <c r="L36" s="205"/>
      <c r="M36" s="205"/>
      <c r="N36" s="205"/>
      <c r="O36" s="205"/>
      <c r="P36" s="206"/>
      <c r="Q36" s="182"/>
      <c r="R36" s="183"/>
      <c r="S36" s="183"/>
      <c r="T36" s="183"/>
      <c r="U36" s="183"/>
      <c r="V36" s="183"/>
      <c r="W36" s="183"/>
      <c r="X36" s="183"/>
      <c r="Y36" s="184"/>
      <c r="Z36" s="19"/>
      <c r="AA36" s="19"/>
      <c r="AB36" s="154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6"/>
      <c r="BP36" s="154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156"/>
    </row>
    <row r="37" spans="2:126" ht="9" customHeight="1" thickTop="1" x14ac:dyDescent="0.3">
      <c r="C37" s="188" t="s">
        <v>101</v>
      </c>
      <c r="D37" s="189"/>
      <c r="E37" s="189"/>
      <c r="F37" s="189"/>
      <c r="G37" s="192" t="str">
        <f>'Base de cálculo'!B11</f>
        <v>Pão de Queijo</v>
      </c>
      <c r="H37" s="193"/>
      <c r="I37" s="193"/>
      <c r="J37" s="193"/>
      <c r="K37" s="193"/>
      <c r="L37" s="193"/>
      <c r="M37" s="193"/>
      <c r="N37" s="193"/>
      <c r="O37" s="193"/>
      <c r="P37" s="194"/>
      <c r="Q37" s="198">
        <f>'Base de cálculo'!C11</f>
        <v>3000</v>
      </c>
      <c r="R37" s="199"/>
      <c r="S37" s="199"/>
      <c r="T37" s="199"/>
      <c r="U37" s="199"/>
      <c r="V37" s="199"/>
      <c r="W37" s="199"/>
      <c r="X37" s="199"/>
      <c r="Y37" s="200"/>
      <c r="Z37" s="187"/>
      <c r="AB37" s="154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6"/>
      <c r="BP37" s="154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156"/>
    </row>
    <row r="38" spans="2:126" ht="9" customHeight="1" x14ac:dyDescent="0.3">
      <c r="C38" s="163"/>
      <c r="D38" s="164"/>
      <c r="E38" s="164"/>
      <c r="F38" s="164"/>
      <c r="G38" s="170"/>
      <c r="H38" s="171"/>
      <c r="I38" s="171"/>
      <c r="J38" s="171"/>
      <c r="K38" s="171"/>
      <c r="L38" s="171"/>
      <c r="M38" s="171"/>
      <c r="N38" s="171"/>
      <c r="O38" s="171"/>
      <c r="P38" s="172"/>
      <c r="Q38" s="179"/>
      <c r="R38" s="180"/>
      <c r="S38" s="180"/>
      <c r="T38" s="180"/>
      <c r="U38" s="180"/>
      <c r="V38" s="180"/>
      <c r="W38" s="180"/>
      <c r="X38" s="180"/>
      <c r="Y38" s="181"/>
      <c r="Z38" s="187"/>
      <c r="AB38" s="154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6"/>
      <c r="BP38" s="154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156"/>
    </row>
    <row r="39" spans="2:126" ht="9" customHeight="1" thickBot="1" x14ac:dyDescent="0.35">
      <c r="C39" s="165"/>
      <c r="D39" s="166"/>
      <c r="E39" s="166"/>
      <c r="F39" s="166"/>
      <c r="G39" s="204"/>
      <c r="H39" s="205"/>
      <c r="I39" s="205"/>
      <c r="J39" s="205"/>
      <c r="K39" s="205"/>
      <c r="L39" s="205"/>
      <c r="M39" s="205"/>
      <c r="N39" s="205"/>
      <c r="O39" s="205"/>
      <c r="P39" s="206"/>
      <c r="Q39" s="182"/>
      <c r="R39" s="183"/>
      <c r="S39" s="183"/>
      <c r="T39" s="183"/>
      <c r="U39" s="183"/>
      <c r="V39" s="183"/>
      <c r="W39" s="183"/>
      <c r="X39" s="183"/>
      <c r="Y39" s="184"/>
      <c r="Z39" s="187"/>
      <c r="AB39" s="154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6"/>
      <c r="BP39" s="154"/>
      <c r="BQ39" s="229"/>
      <c r="BR39" s="229"/>
      <c r="BS39" s="229"/>
      <c r="BT39" s="229"/>
      <c r="BU39" s="229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156"/>
    </row>
    <row r="40" spans="2:126" ht="9" customHeight="1" thickTop="1" x14ac:dyDescent="0.3">
      <c r="C40" s="188" t="s">
        <v>102</v>
      </c>
      <c r="D40" s="189"/>
      <c r="E40" s="189"/>
      <c r="F40" s="189"/>
      <c r="G40" s="192" t="str">
        <f>'Base de cálculo'!B12</f>
        <v>Refrigerante</v>
      </c>
      <c r="H40" s="193"/>
      <c r="I40" s="193"/>
      <c r="J40" s="193"/>
      <c r="K40" s="193"/>
      <c r="L40" s="193"/>
      <c r="M40" s="193"/>
      <c r="N40" s="193"/>
      <c r="O40" s="193"/>
      <c r="P40" s="194"/>
      <c r="Q40" s="198">
        <f>'Base de cálculo'!C12</f>
        <v>1680</v>
      </c>
      <c r="R40" s="199"/>
      <c r="S40" s="199"/>
      <c r="T40" s="199"/>
      <c r="U40" s="199"/>
      <c r="V40" s="199"/>
      <c r="W40" s="199"/>
      <c r="X40" s="199"/>
      <c r="Y40" s="200"/>
      <c r="Z40" s="187"/>
      <c r="AB40" s="154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6"/>
      <c r="BP40" s="154"/>
      <c r="BQ40" s="229"/>
      <c r="BR40" s="229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29"/>
      <c r="CF40" s="156"/>
    </row>
    <row r="41" spans="2:126" ht="9" customHeight="1" x14ac:dyDescent="0.3">
      <c r="C41" s="163"/>
      <c r="D41" s="164"/>
      <c r="E41" s="164"/>
      <c r="F41" s="164"/>
      <c r="G41" s="170"/>
      <c r="H41" s="171"/>
      <c r="I41" s="171"/>
      <c r="J41" s="171"/>
      <c r="K41" s="171"/>
      <c r="L41" s="171"/>
      <c r="M41" s="171"/>
      <c r="N41" s="171"/>
      <c r="O41" s="171"/>
      <c r="P41" s="172"/>
      <c r="Q41" s="179"/>
      <c r="R41" s="180"/>
      <c r="S41" s="180"/>
      <c r="T41" s="180"/>
      <c r="U41" s="180"/>
      <c r="V41" s="180"/>
      <c r="W41" s="180"/>
      <c r="X41" s="180"/>
      <c r="Y41" s="181"/>
      <c r="Z41" s="187"/>
      <c r="AB41" s="154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6"/>
      <c r="BP41" s="154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156"/>
    </row>
    <row r="42" spans="2:126" ht="9" customHeight="1" thickBot="1" x14ac:dyDescent="0.35">
      <c r="C42" s="165"/>
      <c r="D42" s="166"/>
      <c r="E42" s="166"/>
      <c r="F42" s="166"/>
      <c r="G42" s="204"/>
      <c r="H42" s="205"/>
      <c r="I42" s="205"/>
      <c r="J42" s="205"/>
      <c r="K42" s="205"/>
      <c r="L42" s="205"/>
      <c r="M42" s="205"/>
      <c r="N42" s="205"/>
      <c r="O42" s="205"/>
      <c r="P42" s="206"/>
      <c r="Q42" s="182"/>
      <c r="R42" s="183"/>
      <c r="S42" s="183"/>
      <c r="T42" s="183"/>
      <c r="U42" s="183"/>
      <c r="V42" s="183"/>
      <c r="W42" s="183"/>
      <c r="X42" s="183"/>
      <c r="Y42" s="184"/>
      <c r="Z42" s="187"/>
      <c r="AB42" s="154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6"/>
      <c r="BP42" s="154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156"/>
    </row>
    <row r="43" spans="2:126" ht="9" customHeight="1" thickTop="1" x14ac:dyDescent="0.3">
      <c r="C43" s="188" t="s">
        <v>103</v>
      </c>
      <c r="D43" s="189"/>
      <c r="E43" s="189"/>
      <c r="F43" s="189"/>
      <c r="G43" s="192" t="str">
        <f>'Base de cálculo'!B13</f>
        <v>Coxinha</v>
      </c>
      <c r="H43" s="193"/>
      <c r="I43" s="193"/>
      <c r="J43" s="193"/>
      <c r="K43" s="193"/>
      <c r="L43" s="193"/>
      <c r="M43" s="193"/>
      <c r="N43" s="193"/>
      <c r="O43" s="193"/>
      <c r="P43" s="194"/>
      <c r="Q43" s="198">
        <f>'Base de cálculo'!C13</f>
        <v>1592.5</v>
      </c>
      <c r="R43" s="199"/>
      <c r="S43" s="199"/>
      <c r="T43" s="199"/>
      <c r="U43" s="199"/>
      <c r="V43" s="199"/>
      <c r="W43" s="199"/>
      <c r="X43" s="199"/>
      <c r="Y43" s="200"/>
      <c r="Z43" s="187"/>
      <c r="AB43" s="154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6"/>
      <c r="BP43" s="154"/>
      <c r="BQ43" s="229"/>
      <c r="BR43" s="229"/>
      <c r="BS43" s="229"/>
      <c r="BT43" s="229"/>
      <c r="BU43" s="229"/>
      <c r="BV43" s="229"/>
      <c r="BW43" s="229"/>
      <c r="BX43" s="229"/>
      <c r="BY43" s="229"/>
      <c r="BZ43" s="229"/>
      <c r="CA43" s="229"/>
      <c r="CB43" s="229"/>
      <c r="CC43" s="229"/>
      <c r="CD43" s="229"/>
      <c r="CE43" s="229"/>
      <c r="CF43" s="156"/>
    </row>
    <row r="44" spans="2:126" ht="9" customHeight="1" x14ac:dyDescent="0.3">
      <c r="C44" s="163"/>
      <c r="D44" s="164"/>
      <c r="E44" s="164"/>
      <c r="F44" s="164"/>
      <c r="G44" s="170"/>
      <c r="H44" s="171"/>
      <c r="I44" s="171"/>
      <c r="J44" s="171"/>
      <c r="K44" s="171"/>
      <c r="L44" s="171"/>
      <c r="M44" s="171"/>
      <c r="N44" s="171"/>
      <c r="O44" s="171"/>
      <c r="P44" s="172"/>
      <c r="Q44" s="179"/>
      <c r="R44" s="180"/>
      <c r="S44" s="180"/>
      <c r="T44" s="180"/>
      <c r="U44" s="180"/>
      <c r="V44" s="180"/>
      <c r="W44" s="180"/>
      <c r="X44" s="180"/>
      <c r="Y44" s="181"/>
      <c r="Z44" s="187"/>
      <c r="AB44" s="154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5"/>
      <c r="BI44" s="155"/>
      <c r="BJ44" s="155"/>
      <c r="BK44" s="155"/>
      <c r="BL44" s="155"/>
      <c r="BM44" s="155"/>
      <c r="BN44" s="156"/>
      <c r="BP44" s="154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229"/>
      <c r="CE44" s="229"/>
      <c r="CF44" s="156"/>
    </row>
    <row r="45" spans="2:126" ht="9" customHeight="1" thickBot="1" x14ac:dyDescent="0.35">
      <c r="C45" s="190"/>
      <c r="D45" s="191"/>
      <c r="E45" s="191"/>
      <c r="F45" s="191"/>
      <c r="G45" s="195"/>
      <c r="H45" s="196"/>
      <c r="I45" s="196"/>
      <c r="J45" s="196"/>
      <c r="K45" s="196"/>
      <c r="L45" s="196"/>
      <c r="M45" s="196"/>
      <c r="N45" s="196"/>
      <c r="O45" s="196"/>
      <c r="P45" s="197"/>
      <c r="Q45" s="201"/>
      <c r="R45" s="202"/>
      <c r="S45" s="202"/>
      <c r="T45" s="202"/>
      <c r="U45" s="202"/>
      <c r="V45" s="202"/>
      <c r="W45" s="202"/>
      <c r="X45" s="202"/>
      <c r="Y45" s="203"/>
      <c r="AB45" s="157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9"/>
      <c r="BP45" s="157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9"/>
    </row>
    <row r="46" spans="2:126" ht="9" customHeight="1" x14ac:dyDescent="0.3">
      <c r="DJ46" s="185"/>
      <c r="DK46" s="185"/>
      <c r="DL46" s="185"/>
      <c r="DM46" s="185"/>
      <c r="DN46" s="185"/>
      <c r="DO46" s="185"/>
      <c r="DP46" s="185"/>
      <c r="DQ46" s="185"/>
      <c r="DR46" s="185"/>
      <c r="DS46" s="185"/>
      <c r="DT46" s="185"/>
      <c r="DU46" s="185"/>
      <c r="DV46" s="185"/>
    </row>
    <row r="47" spans="2:126" ht="9" customHeight="1" x14ac:dyDescent="0.3">
      <c r="DJ47" s="185"/>
      <c r="DK47" s="185"/>
      <c r="DL47" s="185"/>
      <c r="DM47" s="185"/>
      <c r="DN47" s="185"/>
      <c r="DO47" s="185"/>
      <c r="DP47" s="185"/>
      <c r="DQ47" s="185"/>
      <c r="DR47" s="185"/>
      <c r="DS47" s="185"/>
      <c r="DT47" s="185"/>
      <c r="DU47" s="185"/>
      <c r="DV47" s="185"/>
    </row>
    <row r="48" spans="2:126" ht="9" customHeight="1" x14ac:dyDescent="0.3">
      <c r="DJ48" s="186"/>
      <c r="DK48" s="186"/>
      <c r="DL48" s="186"/>
      <c r="DM48" s="186"/>
      <c r="DN48" s="186"/>
      <c r="DO48" s="186"/>
      <c r="DP48" s="186"/>
      <c r="DQ48" s="186"/>
      <c r="DR48" s="186"/>
      <c r="DS48" s="186"/>
      <c r="DT48" s="186"/>
      <c r="DU48" s="186"/>
      <c r="DV48" s="186"/>
    </row>
  </sheetData>
  <mergeCells count="38">
    <mergeCell ref="C34:F36"/>
    <mergeCell ref="G34:P36"/>
    <mergeCell ref="Q34:Y36"/>
    <mergeCell ref="C37:F39"/>
    <mergeCell ref="G37:P39"/>
    <mergeCell ref="Q37:Y39"/>
    <mergeCell ref="C43:F45"/>
    <mergeCell ref="G43:P45"/>
    <mergeCell ref="Q43:Y45"/>
    <mergeCell ref="Z43:Z44"/>
    <mergeCell ref="C40:F42"/>
    <mergeCell ref="G40:P42"/>
    <mergeCell ref="Q40:Y42"/>
    <mergeCell ref="DJ46:DV47"/>
    <mergeCell ref="DJ48:DV48"/>
    <mergeCell ref="BP30:CF45"/>
    <mergeCell ref="AB32:BN45"/>
    <mergeCell ref="Z37:Z38"/>
    <mergeCell ref="Z39:Z40"/>
    <mergeCell ref="Z41:Z42"/>
    <mergeCell ref="C8:Y9"/>
    <mergeCell ref="AB9:CF10"/>
    <mergeCell ref="C10:Y27"/>
    <mergeCell ref="AB28:BN29"/>
    <mergeCell ref="BP28:CF29"/>
    <mergeCell ref="C29:Y30"/>
    <mergeCell ref="AN30:BC31"/>
    <mergeCell ref="C31:F33"/>
    <mergeCell ref="G31:P33"/>
    <mergeCell ref="AB11:CF25"/>
    <mergeCell ref="Q31:Y33"/>
    <mergeCell ref="B1:O5"/>
    <mergeCell ref="AF2:AT3"/>
    <mergeCell ref="AX2:BL3"/>
    <mergeCell ref="BP2:CD3"/>
    <mergeCell ref="AF4:AT7"/>
    <mergeCell ref="AX4:BL7"/>
    <mergeCell ref="BP4:C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18943F-F08F-4E50-9C4B-8193755C387C}">
          <x14:formula1>
            <xm:f>Produtos!$B$5:$B$31</xm:f>
          </x14:formula1>
          <xm:sqref>AN30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3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Produtos</vt:lpstr>
      <vt:lpstr>Fornecedor</vt:lpstr>
      <vt:lpstr>Entradas</vt:lpstr>
      <vt:lpstr>Saídas</vt:lpstr>
      <vt:lpstr>Consulta</vt:lpstr>
      <vt:lpstr>Controle de Estoque</vt:lpstr>
      <vt:lpstr>Quadro de Resumo</vt:lpstr>
      <vt:lpstr>Top 5 Mais vendidos</vt:lpstr>
      <vt:lpstr>Base de cálculo</vt:lpstr>
      <vt:lpstr>Dashboard</vt:lpstr>
      <vt:lpstr>CriteriosConsultaProduto</vt:lpstr>
      <vt:lpstr>Dashboard!Lista_Produtos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VINICIUS DE ALMEIDA SILVA</cp:lastModifiedBy>
  <cp:revision/>
  <dcterms:created xsi:type="dcterms:W3CDTF">2022-11-17T13:49:56Z</dcterms:created>
  <dcterms:modified xsi:type="dcterms:W3CDTF">2026-05-08T03:36:23Z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